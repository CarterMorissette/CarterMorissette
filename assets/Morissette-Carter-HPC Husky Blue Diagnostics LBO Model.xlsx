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ab6909890e8d0e7/HPC/"/>
    </mc:Choice>
  </mc:AlternateContent>
  <xr:revisionPtr revIDLastSave="31" documentId="8_{A5A4F86A-3C17-41E9-8BA3-B7FB91669EDD}" xr6:coauthVersionLast="47" xr6:coauthVersionMax="47" xr10:uidLastSave="{FCC0332B-E08C-4F95-9AD7-F2984EFB4A96}"/>
  <bookViews>
    <workbookView xWindow="-108" yWindow="-108" windowWidth="23256" windowHeight="13896" tabRatio="500" activeTab="1" xr2:uid="{00000000-000D-0000-FFFF-FFFF00000000}"/>
  </bookViews>
  <sheets>
    <sheet name="LBO" sheetId="1" r:id="rId1"/>
    <sheet name="Stress Test" sheetId="2" r:id="rId2"/>
    <sheet name="PublicComp Table" sheetId="3" r:id="rId3"/>
  </sheets>
  <externalReferences>
    <externalReference r:id="rId4"/>
  </externalReferences>
  <definedNames>
    <definedName name="CASE">[1]LBO!$E$7</definedName>
    <definedName name="CIRC">[1]LBO!$E$6</definedName>
    <definedName name="PIK">[1]LBO!$E$8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3" i="2" l="1"/>
  <c r="F143" i="2"/>
  <c r="E143" i="2"/>
  <c r="D143" i="2"/>
  <c r="G142" i="2"/>
  <c r="F142" i="2"/>
  <c r="E142" i="2"/>
  <c r="D142" i="2"/>
  <c r="G140" i="2"/>
  <c r="F140" i="2"/>
  <c r="E140" i="2"/>
  <c r="D140" i="2"/>
  <c r="G141" i="2"/>
  <c r="F141" i="2"/>
  <c r="E141" i="2"/>
  <c r="D141" i="2"/>
  <c r="C140" i="2"/>
  <c r="G139" i="2"/>
  <c r="F139" i="2"/>
  <c r="E139" i="2"/>
  <c r="D139" i="2"/>
  <c r="G138" i="2"/>
  <c r="F138" i="2"/>
  <c r="E138" i="2"/>
  <c r="D138" i="2"/>
  <c r="G137" i="2"/>
  <c r="F137" i="2"/>
  <c r="E137" i="2"/>
  <c r="D137" i="2"/>
  <c r="G136" i="2"/>
  <c r="F136" i="2"/>
  <c r="E136" i="2"/>
  <c r="D136" i="2"/>
  <c r="G135" i="2"/>
  <c r="F135" i="2"/>
  <c r="E135" i="2"/>
  <c r="D135" i="2"/>
  <c r="C143" i="2"/>
  <c r="C142" i="2"/>
  <c r="C141" i="2"/>
  <c r="C139" i="2"/>
  <c r="C138" i="2"/>
  <c r="C137" i="2"/>
  <c r="C136" i="2"/>
  <c r="C135" i="2"/>
  <c r="G134" i="2"/>
  <c r="F134" i="2"/>
  <c r="E134" i="2"/>
  <c r="D134" i="2"/>
  <c r="C134" i="2"/>
  <c r="G133" i="2"/>
  <c r="F133" i="2"/>
  <c r="E133" i="2"/>
  <c r="D133" i="2"/>
  <c r="C133" i="2"/>
  <c r="G132" i="2"/>
  <c r="F132" i="2"/>
  <c r="E132" i="2"/>
  <c r="D132" i="2"/>
  <c r="C132" i="2"/>
  <c r="G59" i="2"/>
  <c r="F59" i="2"/>
  <c r="E59" i="2"/>
  <c r="D59" i="2"/>
  <c r="C59" i="2"/>
  <c r="K46" i="1"/>
  <c r="F10" i="3"/>
  <c r="E10" i="3"/>
  <c r="F9" i="3"/>
  <c r="E9" i="3"/>
  <c r="F8" i="3"/>
  <c r="E8" i="3"/>
  <c r="F7" i="3"/>
  <c r="E7" i="3"/>
  <c r="E126" i="2" l="1"/>
  <c r="D126" i="2"/>
  <c r="C126" i="2"/>
  <c r="J114" i="1"/>
  <c r="L106" i="1"/>
  <c r="K106" i="1"/>
  <c r="K114" i="1" s="1"/>
  <c r="J99" i="1"/>
  <c r="O68" i="1"/>
  <c r="N68" i="1"/>
  <c r="M68" i="1"/>
  <c r="L68" i="1"/>
  <c r="K68" i="1"/>
  <c r="J68" i="1"/>
  <c r="J60" i="1"/>
  <c r="J57" i="1"/>
  <c r="O50" i="1"/>
  <c r="N50" i="1"/>
  <c r="M50" i="1"/>
  <c r="L50" i="1"/>
  <c r="K50" i="1"/>
  <c r="J50" i="1"/>
  <c r="J39" i="1"/>
  <c r="J38" i="1"/>
  <c r="J41" i="1" s="1"/>
  <c r="J35" i="1"/>
  <c r="J59" i="1" s="1"/>
  <c r="M24" i="1"/>
  <c r="S7" i="1"/>
  <c r="R7" i="1"/>
  <c r="Q7" i="1"/>
  <c r="P7" i="1"/>
  <c r="O7" i="1"/>
  <c r="E7" i="1"/>
  <c r="E9" i="1" s="1"/>
  <c r="E115" i="2"/>
  <c r="L35" i="2" s="1"/>
  <c r="D115" i="2"/>
  <c r="K35" i="2" s="1"/>
  <c r="C115" i="2"/>
  <c r="C76" i="2"/>
  <c r="C80" i="2" s="1"/>
  <c r="C50" i="2"/>
  <c r="G47" i="2"/>
  <c r="F47" i="2"/>
  <c r="E47" i="2"/>
  <c r="D47" i="2"/>
  <c r="C47" i="2"/>
  <c r="C42" i="2"/>
  <c r="C36" i="2"/>
  <c r="C74" i="2" s="1"/>
  <c r="J35" i="2"/>
  <c r="D34" i="2"/>
  <c r="D76" i="2" s="1"/>
  <c r="C34" i="2"/>
  <c r="C38" i="2" s="1"/>
  <c r="C29" i="2"/>
  <c r="C26" i="2"/>
  <c r="M23" i="1" l="1"/>
  <c r="E11" i="1"/>
  <c r="D36" i="2"/>
  <c r="C78" i="2"/>
  <c r="C82" i="2" s="1"/>
  <c r="D38" i="2"/>
  <c r="C72" i="2"/>
  <c r="C48" i="2"/>
  <c r="D72" i="2"/>
  <c r="L114" i="1"/>
  <c r="M106" i="1"/>
  <c r="E23" i="1"/>
  <c r="C25" i="2"/>
  <c r="N24" i="1"/>
  <c r="D80" i="2"/>
  <c r="E34" i="2"/>
  <c r="J42" i="1"/>
  <c r="J46" i="1"/>
  <c r="C40" i="2"/>
  <c r="K35" i="1"/>
  <c r="J63" i="1"/>
  <c r="J69" i="1" s="1"/>
  <c r="J47" i="1" l="1"/>
  <c r="J49" i="1"/>
  <c r="J52" i="1"/>
  <c r="E38" i="2"/>
  <c r="F34" i="2"/>
  <c r="E76" i="2"/>
  <c r="E80" i="2" s="1"/>
  <c r="E72" i="2"/>
  <c r="J84" i="1"/>
  <c r="E25" i="1"/>
  <c r="F23" i="1"/>
  <c r="F25" i="1" s="1"/>
  <c r="C27" i="2"/>
  <c r="D50" i="2"/>
  <c r="D42" i="2"/>
  <c r="D78" i="2"/>
  <c r="D82" i="2" s="1"/>
  <c r="D74" i="2"/>
  <c r="E36" i="2"/>
  <c r="D40" i="2"/>
  <c r="D48" i="2"/>
  <c r="K59" i="1"/>
  <c r="K63" i="1"/>
  <c r="L35" i="1"/>
  <c r="K57" i="1"/>
  <c r="K38" i="1"/>
  <c r="C35" i="2"/>
  <c r="N23" i="1"/>
  <c r="M114" i="1"/>
  <c r="N106" i="1"/>
  <c r="C52" i="2"/>
  <c r="C44" i="2"/>
  <c r="E78" i="2" l="1"/>
  <c r="E82" i="2" s="1"/>
  <c r="F36" i="2"/>
  <c r="E74" i="2"/>
  <c r="E48" i="2"/>
  <c r="E40" i="2"/>
  <c r="J75" i="1"/>
  <c r="J91" i="1"/>
  <c r="J87" i="1"/>
  <c r="J115" i="1"/>
  <c r="J119" i="1" s="1"/>
  <c r="C39" i="2"/>
  <c r="K41" i="1"/>
  <c r="D35" i="2"/>
  <c r="L57" i="1"/>
  <c r="L38" i="1"/>
  <c r="M35" i="1"/>
  <c r="L59" i="1"/>
  <c r="L63" i="1"/>
  <c r="D52" i="2"/>
  <c r="D44" i="2"/>
  <c r="N114" i="1"/>
  <c r="O106" i="1"/>
  <c r="O114" i="1" s="1"/>
  <c r="F38" i="2"/>
  <c r="F72" i="2"/>
  <c r="G34" i="2"/>
  <c r="F76" i="2"/>
  <c r="F80" i="2" s="1"/>
  <c r="C73" i="2"/>
  <c r="K69" i="1"/>
  <c r="C92" i="2"/>
  <c r="C90" i="2"/>
  <c r="K46" i="2"/>
  <c r="M25" i="1"/>
  <c r="J46" i="2"/>
  <c r="E50" i="2"/>
  <c r="E42" i="2"/>
  <c r="J67" i="1"/>
  <c r="J71" i="1" s="1"/>
  <c r="J53" i="1"/>
  <c r="K61" i="1"/>
  <c r="C77" i="2"/>
  <c r="N25" i="1" l="1"/>
  <c r="L61" i="1"/>
  <c r="D77" i="2"/>
  <c r="E35" i="2"/>
  <c r="M59" i="1"/>
  <c r="N35" i="1"/>
  <c r="M38" i="1"/>
  <c r="M63" i="1"/>
  <c r="M57" i="1"/>
  <c r="C54" i="2"/>
  <c r="C56" i="2"/>
  <c r="C43" i="2"/>
  <c r="K84" i="1"/>
  <c r="J94" i="1"/>
  <c r="K91" i="1" s="1"/>
  <c r="F42" i="2"/>
  <c r="F50" i="2"/>
  <c r="F74" i="2"/>
  <c r="F78" i="2"/>
  <c r="F82" i="2" s="1"/>
  <c r="F40" i="2"/>
  <c r="F48" i="2"/>
  <c r="G36" i="2"/>
  <c r="E44" i="2"/>
  <c r="E52" i="2"/>
  <c r="L41" i="1"/>
  <c r="D39" i="2"/>
  <c r="C51" i="2"/>
  <c r="K42" i="1"/>
  <c r="G72" i="2"/>
  <c r="G76" i="2"/>
  <c r="G80" i="2" s="1"/>
  <c r="G38" i="2"/>
  <c r="K70" i="1"/>
  <c r="C81" i="2"/>
  <c r="D73" i="2"/>
  <c r="L69" i="1"/>
  <c r="E73" i="2" l="1"/>
  <c r="M69" i="1"/>
  <c r="M61" i="1"/>
  <c r="E77" i="2"/>
  <c r="C110" i="2"/>
  <c r="C60" i="2"/>
  <c r="M41" i="1"/>
  <c r="E39" i="2"/>
  <c r="N59" i="1"/>
  <c r="N57" i="1"/>
  <c r="N38" i="1"/>
  <c r="N63" i="1"/>
  <c r="O35" i="1"/>
  <c r="F35" i="2"/>
  <c r="C58" i="2"/>
  <c r="C108" i="2"/>
  <c r="G78" i="2"/>
  <c r="G82" i="2" s="1"/>
  <c r="G74" i="2"/>
  <c r="G40" i="2"/>
  <c r="G48" i="2"/>
  <c r="F44" i="2"/>
  <c r="F52" i="2"/>
  <c r="G50" i="2"/>
  <c r="G42" i="2"/>
  <c r="C114" i="2"/>
  <c r="D81" i="2"/>
  <c r="L70" i="1"/>
  <c r="D43" i="2"/>
  <c r="L42" i="1"/>
  <c r="D51" i="2"/>
  <c r="K85" i="1"/>
  <c r="K75" i="1"/>
  <c r="C91" i="2"/>
  <c r="C62" i="2" l="1"/>
  <c r="C66" i="2" s="1"/>
  <c r="C84" i="2" s="1"/>
  <c r="C64" i="2"/>
  <c r="C68" i="2" s="1"/>
  <c r="C86" i="2" s="1"/>
  <c r="M70" i="1"/>
  <c r="E81" i="2"/>
  <c r="G35" i="2"/>
  <c r="O59" i="1"/>
  <c r="O57" i="1"/>
  <c r="O38" i="1"/>
  <c r="O63" i="1"/>
  <c r="F73" i="2"/>
  <c r="N69" i="1"/>
  <c r="C116" i="2"/>
  <c r="J34" i="2"/>
  <c r="E43" i="2"/>
  <c r="G52" i="2"/>
  <c r="G44" i="2"/>
  <c r="E114" i="2"/>
  <c r="N41" i="1"/>
  <c r="F39" i="2"/>
  <c r="F77" i="2"/>
  <c r="N61" i="1"/>
  <c r="M42" i="1"/>
  <c r="E51" i="2"/>
  <c r="K117" i="1"/>
  <c r="K92" i="1"/>
  <c r="K44" i="1" s="1"/>
  <c r="C96" i="2" l="1"/>
  <c r="C100" i="2" s="1"/>
  <c r="C106" i="2" s="1"/>
  <c r="D92" i="2"/>
  <c r="C94" i="2"/>
  <c r="C98" i="2" s="1"/>
  <c r="C104" i="2" s="1"/>
  <c r="D90" i="2"/>
  <c r="C55" i="2"/>
  <c r="G77" i="2"/>
  <c r="O61" i="1"/>
  <c r="G73" i="2"/>
  <c r="O69" i="1"/>
  <c r="J98" i="1"/>
  <c r="J100" i="1" s="1"/>
  <c r="O41" i="1"/>
  <c r="G39" i="2"/>
  <c r="F43" i="2"/>
  <c r="J36" i="2"/>
  <c r="F51" i="2"/>
  <c r="N42" i="1"/>
  <c r="L34" i="2"/>
  <c r="E116" i="2"/>
  <c r="N70" i="1"/>
  <c r="F81" i="2"/>
  <c r="D114" i="2" l="1"/>
  <c r="G43" i="2"/>
  <c r="O70" i="1"/>
  <c r="G81" i="2"/>
  <c r="L36" i="2"/>
  <c r="O42" i="1"/>
  <c r="G51" i="2"/>
  <c r="K47" i="1"/>
  <c r="K49" i="1"/>
  <c r="D54" i="2"/>
  <c r="D56" i="2"/>
  <c r="C109" i="2"/>
  <c r="D108" i="2" l="1"/>
  <c r="D58" i="2"/>
  <c r="C63" i="2"/>
  <c r="K76" i="1"/>
  <c r="K52" i="1"/>
  <c r="K34" i="2"/>
  <c r="D116" i="2"/>
  <c r="D110" i="2"/>
  <c r="D60" i="2"/>
  <c r="D64" i="2" l="1"/>
  <c r="D68" i="2" s="1"/>
  <c r="D86" i="2" s="1"/>
  <c r="K36" i="2"/>
  <c r="C67" i="2"/>
  <c r="K67" i="1"/>
  <c r="K71" i="1" s="1"/>
  <c r="K53" i="1"/>
  <c r="D62" i="2"/>
  <c r="D66" i="2" s="1"/>
  <c r="D84" i="2" s="1"/>
  <c r="D94" i="2" l="1"/>
  <c r="D98" i="2" s="1"/>
  <c r="D104" i="2" s="1"/>
  <c r="E90" i="2"/>
  <c r="D96" i="2"/>
  <c r="D100" i="2" s="1"/>
  <c r="D106" i="2" s="1"/>
  <c r="E92" i="2"/>
  <c r="C85" i="2"/>
  <c r="K86" i="1"/>
  <c r="K93" i="1" l="1"/>
  <c r="K77" i="1" s="1"/>
  <c r="K116" i="1"/>
  <c r="K119" i="1" s="1"/>
  <c r="C95" i="2"/>
  <c r="K87" i="1"/>
  <c r="E54" i="2"/>
  <c r="E56" i="2"/>
  <c r="E110" i="2" l="1"/>
  <c r="E60" i="2"/>
  <c r="E108" i="2"/>
  <c r="E58" i="2"/>
  <c r="L84" i="1"/>
  <c r="C99" i="2"/>
  <c r="K94" i="1"/>
  <c r="L91" i="1" s="1"/>
  <c r="E64" i="2" l="1"/>
  <c r="E68" i="2"/>
  <c r="E86" i="2" s="1"/>
  <c r="C105" i="2"/>
  <c r="E62" i="2"/>
  <c r="E66" i="2" s="1"/>
  <c r="E84" i="2" s="1"/>
  <c r="D91" i="2"/>
  <c r="L85" i="1"/>
  <c r="L75" i="1"/>
  <c r="E94" i="2" l="1"/>
  <c r="E98" i="2" s="1"/>
  <c r="E104" i="2" s="1"/>
  <c r="F90" i="2"/>
  <c r="L117" i="1"/>
  <c r="L92" i="1"/>
  <c r="L44" i="1" s="1"/>
  <c r="E96" i="2"/>
  <c r="E100" i="2" s="1"/>
  <c r="E106" i="2" s="1"/>
  <c r="F92" i="2"/>
  <c r="F56" i="2" l="1"/>
  <c r="F54" i="2"/>
  <c r="D55" i="2"/>
  <c r="L46" i="1"/>
  <c r="L47" i="1" l="1"/>
  <c r="L49" i="1"/>
  <c r="D109" i="2"/>
  <c r="F108" i="2"/>
  <c r="F58" i="2"/>
  <c r="F110" i="2"/>
  <c r="F60" i="2"/>
  <c r="F62" i="2" l="1"/>
  <c r="F66" i="2" s="1"/>
  <c r="F84" i="2" s="1"/>
  <c r="F64" i="2"/>
  <c r="F68" i="2"/>
  <c r="F86" i="2" s="1"/>
  <c r="D63" i="2"/>
  <c r="L76" i="1"/>
  <c r="L52" i="1"/>
  <c r="F94" i="2" l="1"/>
  <c r="F98" i="2" s="1"/>
  <c r="F104" i="2" s="1"/>
  <c r="G90" i="2"/>
  <c r="F96" i="2"/>
  <c r="F100" i="2" s="1"/>
  <c r="F106" i="2" s="1"/>
  <c r="G92" i="2"/>
  <c r="L67" i="1"/>
  <c r="L71" i="1" s="1"/>
  <c r="L53" i="1"/>
  <c r="D67" i="2"/>
  <c r="L86" i="1" l="1"/>
  <c r="D85" i="2"/>
  <c r="G56" i="2"/>
  <c r="G54" i="2"/>
  <c r="C128" i="2" l="1"/>
  <c r="J48" i="2" s="1"/>
  <c r="G108" i="2"/>
  <c r="G58" i="2"/>
  <c r="E128" i="2"/>
  <c r="L48" i="2" s="1"/>
  <c r="G110" i="2"/>
  <c r="G60" i="2"/>
  <c r="L116" i="1"/>
  <c r="L119" i="1" s="1"/>
  <c r="D95" i="2"/>
  <c r="L93" i="1"/>
  <c r="L77" i="1" s="1"/>
  <c r="L87" i="1"/>
  <c r="M84" i="1" l="1"/>
  <c r="L94" i="1"/>
  <c r="M91" i="1" s="1"/>
  <c r="D99" i="2"/>
  <c r="G64" i="2"/>
  <c r="G68" i="2" s="1"/>
  <c r="G86" i="2" s="1"/>
  <c r="G96" i="2" s="1"/>
  <c r="G100" i="2" s="1"/>
  <c r="G62" i="2"/>
  <c r="G66" i="2" s="1"/>
  <c r="G84" i="2" s="1"/>
  <c r="G94" i="2" s="1"/>
  <c r="G98" i="2" s="1"/>
  <c r="G104" i="2" l="1"/>
  <c r="C117" i="2"/>
  <c r="C127" i="2"/>
  <c r="J47" i="2" s="1"/>
  <c r="E127" i="2"/>
  <c r="L47" i="2" s="1"/>
  <c r="E117" i="2"/>
  <c r="G106" i="2"/>
  <c r="D105" i="2"/>
  <c r="E91" i="2"/>
  <c r="M75" i="1"/>
  <c r="M85" i="1"/>
  <c r="M92" i="1" l="1"/>
  <c r="M44" i="1" s="1"/>
  <c r="M117" i="1"/>
  <c r="L37" i="2"/>
  <c r="E118" i="2"/>
  <c r="J37" i="2"/>
  <c r="C118" i="2"/>
  <c r="J38" i="2" l="1"/>
  <c r="H121" i="2"/>
  <c r="L38" i="2"/>
  <c r="H123" i="2"/>
  <c r="E55" i="2"/>
  <c r="M46" i="1"/>
  <c r="M47" i="1" l="1"/>
  <c r="M49" i="1"/>
  <c r="E109" i="2"/>
  <c r="E63" i="2" l="1"/>
  <c r="M76" i="1"/>
  <c r="M52" i="1"/>
  <c r="M67" i="1" l="1"/>
  <c r="M71" i="1" s="1"/>
  <c r="E67" i="2"/>
  <c r="M53" i="1"/>
  <c r="M86" i="1" l="1"/>
  <c r="E85" i="2"/>
  <c r="E95" i="2" l="1"/>
  <c r="M93" i="1"/>
  <c r="M77" i="1" s="1"/>
  <c r="M116" i="1"/>
  <c r="M119" i="1" s="1"/>
  <c r="M87" i="1"/>
  <c r="N84" i="1" l="1"/>
  <c r="M94" i="1"/>
  <c r="N91" i="1" s="1"/>
  <c r="E99" i="2"/>
  <c r="E105" i="2" l="1"/>
  <c r="N85" i="1"/>
  <c r="N75" i="1"/>
  <c r="F91" i="2"/>
  <c r="N117" i="1" l="1"/>
  <c r="N92" i="1"/>
  <c r="N44" i="1" s="1"/>
  <c r="F55" i="2" l="1"/>
  <c r="N46" i="1"/>
  <c r="N47" i="1" l="1"/>
  <c r="N49" i="1"/>
  <c r="F109" i="2"/>
  <c r="F63" i="2" l="1"/>
  <c r="N76" i="1"/>
  <c r="N52" i="1"/>
  <c r="N53" i="1" l="1"/>
  <c r="N67" i="1"/>
  <c r="N71" i="1" s="1"/>
  <c r="F67" i="2"/>
  <c r="F85" i="2" l="1"/>
  <c r="N86" i="1"/>
  <c r="F95" i="2" l="1"/>
  <c r="N93" i="1"/>
  <c r="N77" i="1" s="1"/>
  <c r="N116" i="1"/>
  <c r="N119" i="1" s="1"/>
  <c r="N87" i="1"/>
  <c r="N94" i="1" l="1"/>
  <c r="O91" i="1" s="1"/>
  <c r="O84" i="1"/>
  <c r="F99" i="2"/>
  <c r="F105" i="2" l="1"/>
  <c r="G91" i="2"/>
  <c r="O85" i="1"/>
  <c r="O75" i="1"/>
  <c r="O117" i="1" l="1"/>
  <c r="O92" i="1"/>
  <c r="O44" i="1" s="1"/>
  <c r="G55" i="2" l="1"/>
  <c r="O46" i="1"/>
  <c r="O47" i="1" l="1"/>
  <c r="O49" i="1"/>
  <c r="G109" i="2"/>
  <c r="D128" i="2"/>
  <c r="K48" i="2" s="1"/>
  <c r="G63" i="2" l="1"/>
  <c r="O76" i="1"/>
  <c r="O52" i="1"/>
  <c r="O67" i="1" l="1"/>
  <c r="O71" i="1" s="1"/>
  <c r="O53" i="1"/>
  <c r="G67" i="2"/>
  <c r="O86" i="1" l="1"/>
  <c r="G85" i="2"/>
  <c r="G95" i="2" l="1"/>
  <c r="O93" i="1"/>
  <c r="O77" i="1" s="1"/>
  <c r="O116" i="1"/>
  <c r="O87" i="1"/>
  <c r="O94" i="1" l="1"/>
  <c r="J101" i="1" s="1"/>
  <c r="J102" i="1" s="1"/>
  <c r="O107" i="1" s="1"/>
  <c r="O118" i="1"/>
  <c r="O119" i="1" s="1"/>
  <c r="J120" i="1" s="1"/>
  <c r="G99" i="2"/>
  <c r="E125" i="2" l="1"/>
  <c r="L43" i="2" s="1"/>
  <c r="D125" i="2"/>
  <c r="K43" i="2" s="1"/>
  <c r="C125" i="2"/>
  <c r="J43" i="2" s="1"/>
  <c r="D127" i="2"/>
  <c r="K47" i="2" s="1"/>
  <c r="G105" i="2"/>
  <c r="D117" i="2"/>
  <c r="K37" i="2" l="1"/>
  <c r="D118" i="2"/>
  <c r="H122" i="2" l="1"/>
  <c r="K38" i="2"/>
  <c r="L46" i="2" l="1"/>
  <c r="K42" i="2" l="1"/>
  <c r="D124" i="2"/>
  <c r="J109" i="1"/>
  <c r="F29" i="1"/>
  <c r="F27" i="1"/>
  <c r="C123" i="2"/>
  <c r="E124" i="2"/>
  <c r="L42" i="2"/>
  <c r="K41" i="2"/>
  <c r="D119" i="2"/>
  <c r="N29" i="1"/>
  <c r="N26" i="1"/>
  <c r="J42" i="2"/>
  <c r="C124" i="2"/>
  <c r="C121" i="2"/>
  <c r="O29" i="1"/>
  <c r="O23" i="1"/>
  <c r="O26" i="1"/>
  <c r="J41" i="2"/>
  <c r="C119" i="2"/>
  <c r="C28" i="2"/>
  <c r="E119" i="2"/>
  <c r="L41" i="2"/>
  <c r="O11" i="1"/>
  <c r="J107" i="1"/>
  <c r="O109" i="1"/>
  <c r="E29" i="1"/>
  <c r="G23" i="1"/>
  <c r="G25" i="1"/>
  <c r="G29" i="1"/>
  <c r="G27" i="1"/>
  <c r="C122" i="2"/>
  <c r="J104" i="1"/>
  <c r="O108" i="1"/>
  <c r="O24" i="1"/>
  <c r="E27" i="1"/>
  <c r="E12" i="1"/>
  <c r="M26" i="1"/>
  <c r="M29" i="1"/>
  <c r="O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V9" authorId="0" shapeId="0" xr:uid="{00000000-0006-0000-0000-00000C000000}">
      <text>
        <r>
          <rPr>
            <sz val="10"/>
            <rFont val="Arial"/>
            <family val="2"/>
          </rPr>
          <t>Source: Hillside Private Capital Case Study.pdf (uploaded), pp. 3-4.</t>
        </r>
      </text>
    </comment>
    <comment ref="V10" authorId="0" shapeId="0" xr:uid="{00000000-0006-0000-0000-00000D000000}">
      <text>
        <r>
          <rPr>
            <sz val="10"/>
            <rFont val="Arial"/>
            <family val="2"/>
          </rPr>
          <t>Source: Hillside Private Capital Case Study.pdf (uploaded), pp. 3-4.</t>
        </r>
      </text>
    </comment>
    <comment ref="V11" authorId="0" shapeId="0" xr:uid="{00000000-0006-0000-0000-00000E000000}">
      <text>
        <r>
          <rPr>
            <sz val="10"/>
            <rFont val="Arial"/>
            <family val="2"/>
          </rPr>
          <t>Source: Hillside Private Capital Case Study.pdf (uploaded), pp. 3-4.</t>
        </r>
      </text>
    </comment>
    <comment ref="V12" authorId="0" shapeId="0" xr:uid="{00000000-0006-0000-0000-00000F000000}">
      <text>
        <r>
          <rPr>
            <sz val="10"/>
            <rFont val="Arial"/>
            <family val="2"/>
          </rPr>
          <t>Source: Hillside Private Capital Case Study.pdf (uploaded), pp. 3-4.</t>
        </r>
      </text>
    </comment>
    <comment ref="V13" authorId="0" shapeId="0" xr:uid="{00000000-0006-0000-0000-000010000000}">
      <text>
        <r>
          <rPr>
            <sz val="10"/>
            <rFont val="Arial"/>
            <family val="2"/>
          </rPr>
          <t>Source: Hillside Private Capital Case Study.pdf (uploaded), pp. 3-4.</t>
        </r>
      </text>
    </comment>
    <comment ref="E16" authorId="0" shapeId="0" xr:uid="{00000000-0006-0000-0000-000003000000}">
      <text>
        <r>
          <rPr>
            <sz val="10"/>
            <rFont val="Arial"/>
            <family val="2"/>
          </rPr>
          <t>Illustrative exit multiple. Set equal to or below entry unless you have strong support.</t>
        </r>
      </text>
    </comment>
  </commentList>
</comments>
</file>

<file path=xl/sharedStrings.xml><?xml version="1.0" encoding="utf-8"?>
<sst xmlns="http://schemas.openxmlformats.org/spreadsheetml/2006/main" count="348" uniqueCount="221">
  <si>
    <t>x</t>
  </si>
  <si>
    <t>Assumptions</t>
  </si>
  <si>
    <t>Entry ($MM)</t>
  </si>
  <si>
    <t>Financials</t>
  </si>
  <si>
    <t>Capital Structure</t>
  </si>
  <si>
    <t>Amount</t>
  </si>
  <si>
    <t xml:space="preserve"> 2026P Int.</t>
  </si>
  <si>
    <t xml:space="preserve"> 2027P Int.</t>
  </si>
  <si>
    <t xml:space="preserve"> 2028P Int.</t>
  </si>
  <si>
    <t>2029P Int.</t>
  </si>
  <si>
    <t>2030P Int.</t>
  </si>
  <si>
    <t>LTM EBITDA</t>
  </si>
  <si>
    <t>Unitranche Term Loan</t>
  </si>
  <si>
    <t>Rate Inputs</t>
  </si>
  <si>
    <t>EBITDA Multiple</t>
  </si>
  <si>
    <t>Revenue</t>
  </si>
  <si>
    <t>Year</t>
  </si>
  <si>
    <t>SOFR</t>
  </si>
  <si>
    <t>Notes</t>
  </si>
  <si>
    <t>Enterprise Value</t>
  </si>
  <si>
    <t>EBITDA</t>
  </si>
  <si>
    <t>Year 1</t>
  </si>
  <si>
    <t>65% recurring compliance revenue</t>
  </si>
  <si>
    <t>Existing Net Debt</t>
  </si>
  <si>
    <t>D&amp;A</t>
  </si>
  <si>
    <t>For Reference</t>
  </si>
  <si>
    <t>Year 2</t>
  </si>
  <si>
    <t>60% of customer base renews in 2027</t>
  </si>
  <si>
    <t>Equity Value</t>
  </si>
  <si>
    <t>Capex</t>
  </si>
  <si>
    <t>IRR</t>
  </si>
  <si>
    <t>Year 3</t>
  </si>
  <si>
    <t>Existing net debt to refi = $13.0mm</t>
  </si>
  <si>
    <t>Transaction Fees &amp; Expenses</t>
  </si>
  <si>
    <t>NWC</t>
  </si>
  <si>
    <t>Year 4</t>
  </si>
  <si>
    <t>No mandatory amortization</t>
  </si>
  <si>
    <t>Year 5</t>
  </si>
  <si>
    <t>Debt fees = 1.0%; sponsor fees = 2.0%</t>
  </si>
  <si>
    <t>Operating Assumptions</t>
  </si>
  <si>
    <t>Exit ($MM)</t>
  </si>
  <si>
    <t>YoY margin expansion</t>
  </si>
  <si>
    <t>Tax Rate</t>
  </si>
  <si>
    <t>Sources and Uses</t>
  </si>
  <si>
    <t>Sources</t>
  </si>
  <si>
    <t>Uses</t>
  </si>
  <si>
    <t>xEBITDA</t>
  </si>
  <si>
    <t>% Capital</t>
  </si>
  <si>
    <t>Purchase Price</t>
  </si>
  <si>
    <t>Refi Existing Net Debt</t>
  </si>
  <si>
    <t>Total Debt</t>
  </si>
  <si>
    <t>Debt Fees</t>
  </si>
  <si>
    <t>Transaction Fees</t>
  </si>
  <si>
    <t>Sponsor Equity</t>
  </si>
  <si>
    <t>Total Sources</t>
  </si>
  <si>
    <t>Total Uses</t>
  </si>
  <si>
    <t>Operating Model</t>
  </si>
  <si>
    <t>2025A</t>
  </si>
  <si>
    <t>2026P</t>
  </si>
  <si>
    <t>2027P</t>
  </si>
  <si>
    <t>2028P</t>
  </si>
  <si>
    <t>2029P</t>
  </si>
  <si>
    <t>2030P</t>
  </si>
  <si>
    <t xml:space="preserve">   % growth</t>
  </si>
  <si>
    <t xml:space="preserve">   % sales</t>
  </si>
  <si>
    <t>EBIT</t>
  </si>
  <si>
    <t>Interest</t>
  </si>
  <si>
    <t>EBT</t>
  </si>
  <si>
    <t>Taxes</t>
  </si>
  <si>
    <t xml:space="preserve">   % tax rate</t>
  </si>
  <si>
    <t>Net Income</t>
  </si>
  <si>
    <t>Cash flow Items</t>
  </si>
  <si>
    <t>Year 0</t>
  </si>
  <si>
    <t>Net Working Capital</t>
  </si>
  <si>
    <t>Change in Net Working Capital</t>
  </si>
  <si>
    <t>CapEx</t>
  </si>
  <si>
    <t>Levered Cash Flow</t>
  </si>
  <si>
    <t>Change in NWC</t>
  </si>
  <si>
    <t>Credit and Leverage Ratios</t>
  </si>
  <si>
    <t>Debt/EBITDA</t>
  </si>
  <si>
    <t>Fixed Charge Coverage Ratio</t>
  </si>
  <si>
    <t>Seeking &gt; 1.4</t>
  </si>
  <si>
    <t>Debt Service Coverage Ratio (EBITDA/(Paydown + Interest)</t>
  </si>
  <si>
    <t>Seeking &gt; 1.2</t>
  </si>
  <si>
    <t>Debt Schedule</t>
  </si>
  <si>
    <t xml:space="preserve">   Beginning Balance</t>
  </si>
  <si>
    <t xml:space="preserve">   Interest</t>
  </si>
  <si>
    <t xml:space="preserve">   Paydown</t>
  </si>
  <si>
    <t xml:space="preserve">   Ending Balance</t>
  </si>
  <si>
    <t>EBITDA at Exit</t>
  </si>
  <si>
    <t>Exit Multiple</t>
  </si>
  <si>
    <t>Net Debt</t>
  </si>
  <si>
    <t>Sponsor Equity Value</t>
  </si>
  <si>
    <t>Sponsor Equity at Entry</t>
  </si>
  <si>
    <t>MOIC</t>
  </si>
  <si>
    <t>Debt Returns</t>
  </si>
  <si>
    <t>(-) Initial Capital Injection</t>
  </si>
  <si>
    <t>(+) Paydown</t>
  </si>
  <si>
    <t>(+) Interest</t>
  </si>
  <si>
    <t>(+) Maturity</t>
  </si>
  <si>
    <t>Total Cash Flows</t>
  </si>
  <si>
    <t>HPC LBO — Stress Test Operating Model  |  Management / Base / Downside</t>
  </si>
  <si>
    <t>SECTION 1 — CASE ASSUMPTIONS  (Blue = inputs  |  Green = linked from LBO)</t>
  </si>
  <si>
    <t>Driver</t>
  </si>
  <si>
    <t>Management</t>
  </si>
  <si>
    <t>Base</t>
  </si>
  <si>
    <t>Downside</t>
  </si>
  <si>
    <t>Active Case →</t>
  </si>
  <si>
    <t>▸ Revenue Growth</t>
  </si>
  <si>
    <t>Revenue Growth Yr1</t>
  </si>
  <si>
    <t>Revenue Growth Yr2</t>
  </si>
  <si>
    <t>Revenue Growth Yr3</t>
  </si>
  <si>
    <t>Revenue Growth Yr4</t>
  </si>
  <si>
    <t>Revenue Growth Yr5</t>
  </si>
  <si>
    <t>▸ EBITDA Margin</t>
  </si>
  <si>
    <t>Entry EBITDA Margin</t>
  </si>
  <si>
    <t>Yr2 Margin</t>
  </si>
  <si>
    <t>Yr3 Margin</t>
  </si>
  <si>
    <t>Yr4 Margin</t>
  </si>
  <si>
    <t>Yr5 Margin</t>
  </si>
  <si>
    <t>▸ CapEx, NWC &amp; Exit</t>
  </si>
  <si>
    <t>CapEx Yr1 % Rev</t>
  </si>
  <si>
    <t>CapEx Yr2-5 % Rev</t>
  </si>
  <si>
    <t>NWC % Rev</t>
  </si>
  <si>
    <t>Exit EV/EBITDA</t>
  </si>
  <si>
    <t>▸ Fixed Inputs (linked from LBO)</t>
  </si>
  <si>
    <t>LTM EBITDA ($MM)</t>
  </si>
  <si>
    <t>Entry EV/EBITDA</t>
  </si>
  <si>
    <t>Initial Debt ($MM)</t>
  </si>
  <si>
    <t>Sponsor Equity ($MM)</t>
  </si>
  <si>
    <t>Entry NWC ($MM)</t>
  </si>
  <si>
    <t>Returns Summary</t>
  </si>
  <si>
    <t>Mgmt</t>
  </si>
  <si>
    <t>▸ Revenue ($MM)</t>
  </si>
  <si>
    <t>EXIT METRICS</t>
  </si>
  <si>
    <t>Exit EBITDA ($MM)</t>
  </si>
  <si>
    <t>Exit EV ($MM)</t>
  </si>
  <si>
    <t>▸ EBITDA ($MM)</t>
  </si>
  <si>
    <t>Net Debt at Exit ($MM)</t>
  </si>
  <si>
    <t>Equity Value ($MM)</t>
  </si>
  <si>
    <t>RETURNS</t>
  </si>
  <si>
    <t>▸ EBITDA Margin (%)</t>
  </si>
  <si>
    <t>Equity MOIC</t>
  </si>
  <si>
    <t>Equity IRR (XIRR)</t>
  </si>
  <si>
    <t>Debt IRR</t>
  </si>
  <si>
    <t>▸ D&amp;A ($MM)</t>
  </si>
  <si>
    <t>LEVERAGE</t>
  </si>
  <si>
    <t>Entry Debt/EBITDA</t>
  </si>
  <si>
    <t>Exit Debt/EBITDA</t>
  </si>
  <si>
    <t>Int. Coverage (Yr5)</t>
  </si>
  <si>
    <t>▸ EBIT ($MM)</t>
  </si>
  <si>
    <t>▸ Interest Expense ($MM)</t>
  </si>
  <si>
    <t>▸ EBT ($MM)</t>
  </si>
  <si>
    <t>▸ Taxes ($MM)</t>
  </si>
  <si>
    <t>▸ Net Income ($MM)</t>
  </si>
  <si>
    <t>▸ Cash Flow Items</t>
  </si>
  <si>
    <t xml:space="preserve">  CapEx ($MM)</t>
  </si>
  <si>
    <t xml:space="preserve">  NWC Level ($MM)</t>
  </si>
  <si>
    <t xml:space="preserve">  Change in NWC ($MM)</t>
  </si>
  <si>
    <t xml:space="preserve">  Levered Free Cash Flow ($MM)</t>
  </si>
  <si>
    <t>▸ Debt Schedule ($MM)  [100% cash sweep]</t>
  </si>
  <si>
    <t xml:space="preserve">  Beginning Balance</t>
  </si>
  <si>
    <t xml:space="preserve">  Paydown (= FCF sweep)</t>
  </si>
  <si>
    <t xml:space="preserve">  Ending Balance</t>
  </si>
  <si>
    <t>▸ Credit &amp; Leverage Ratios</t>
  </si>
  <si>
    <t xml:space="preserve">  Debt / EBITDA (x)</t>
  </si>
  <si>
    <t xml:space="preserve">  Interest Coverage (EBITDA/Interest)</t>
  </si>
  <si>
    <t>SECTION 3 — RETURNS SUMMARY BY CASE</t>
  </si>
  <si>
    <t>Metric</t>
  </si>
  <si>
    <t>Exit EV/EBITDA Multiple</t>
  </si>
  <si>
    <t>Exit Enterprise Value ($MM)</t>
  </si>
  <si>
    <t>Equity Value at Exit ($MM)</t>
  </si>
  <si>
    <t>(Dates for XIRR)</t>
  </si>
  <si>
    <t>Equity IRR (5-yr, XIRR)</t>
  </si>
  <si>
    <t>Seeking &gt;15% (equity threshold)</t>
  </si>
  <si>
    <t>Debt IRR (blended)</t>
  </si>
  <si>
    <t>Seeking &gt;8%</t>
  </si>
  <si>
    <t>Entry Leverage (Debt/EBITDA)</t>
  </si>
  <si>
    <t>Exit Leverage (Debt/EBITDA)</t>
  </si>
  <si>
    <t>Interest Coverage (Yr5)</t>
  </si>
  <si>
    <t>Seeking &gt;1.4x</t>
  </si>
  <si>
    <t>SECTION 4 — ACTIVE CASE OUTPUT  (driven by selector in C6)</t>
  </si>
  <si>
    <t>Yr 1</t>
  </si>
  <si>
    <t>Yr 2</t>
  </si>
  <si>
    <t>Yr 3</t>
  </si>
  <si>
    <t>Yr 4</t>
  </si>
  <si>
    <t>Yr 5</t>
  </si>
  <si>
    <t>Revenue ($MM)</t>
  </si>
  <si>
    <t>EBITDA ($MM)</t>
  </si>
  <si>
    <t>EBITDA Margin</t>
  </si>
  <si>
    <t>D&amp;A ($MM)</t>
  </si>
  <si>
    <t>CapEx ($MM)</t>
  </si>
  <si>
    <t>Interest ($MM)</t>
  </si>
  <si>
    <t>Net Income ($MM)</t>
  </si>
  <si>
    <t>Levered FCF ($MM)</t>
  </si>
  <si>
    <t>Ending Debt ($MM)</t>
  </si>
  <si>
    <t>Interest Coverage</t>
  </si>
  <si>
    <t>Upside</t>
  </si>
  <si>
    <t>← Type:  Base / Upside / Downside</t>
  </si>
  <si>
    <t>Company</t>
  </si>
  <si>
    <t>Market Cap ($M)</t>
  </si>
  <si>
    <t>EV ($M)</t>
  </si>
  <si>
    <t>Net Debt ($M)</t>
  </si>
  <si>
    <t>EV / Revenue (LTM)</t>
  </si>
  <si>
    <t>EV / EBITDA (LTM)</t>
  </si>
  <si>
    <t>SGS S.A.</t>
  </si>
  <si>
    <t>Bureau Veritas S.A.</t>
  </si>
  <si>
    <t>Intertek Group PLC</t>
  </si>
  <si>
    <t>Mistras Group, Inc.</t>
  </si>
  <si>
    <t>Mean</t>
  </si>
  <si>
    <t>Median</t>
  </si>
  <si>
    <t>Max</t>
  </si>
  <si>
    <t>Min</t>
  </si>
  <si>
    <t>UPSIDE</t>
  </si>
  <si>
    <t xml:space="preserve">  Change C6 to "Base", "Upside" or "Downside" to update Section 4. </t>
  </si>
  <si>
    <t>&lt; 2027 step-up</t>
  </si>
  <si>
    <t>&lt; 2028 stepup</t>
  </si>
  <si>
    <t>Hillside Private Capital - Husky Blue Diagnostics LBO Model</t>
  </si>
  <si>
    <t>Upside Investment Case</t>
  </si>
  <si>
    <t>SECTION 2 — OPERATING MODEL  (mirrors LBO structure)</t>
  </si>
  <si>
    <t>Unitranche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</si>
</sst>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%;[Red]\(0.0%\);\-"/>
    <numFmt numFmtId="165" formatCode="\$#,##0.0_);[Red]&quot;($&quot;#,##0.0\);\-"/>
    <numFmt numFmtId="166" formatCode="0.0\x;[Red]\(0.0&quot;x)&quot;;\-"/>
    <numFmt numFmtId="167" formatCode="0.0%_)"/>
    <numFmt numFmtId="168" formatCode="#,##0.0%_);\(#,##0.0%\)"/>
    <numFmt numFmtId="169" formatCode="#,##0_);\(#,##0\);\-_)"/>
    <numFmt numFmtId="170" formatCode="0.0\x"/>
    <numFmt numFmtId="171" formatCode="#,##0.0\x;&quot;NM&quot;_x"/>
    <numFmt numFmtId="172" formatCode="0.0\x_)"/>
    <numFmt numFmtId="173" formatCode="0.0%"/>
    <numFmt numFmtId="174" formatCode="\$#,##0.0"/>
    <numFmt numFmtId="175" formatCode="0.00\x"/>
    <numFmt numFmtId="176" formatCode="yyyy\-mm\-dd"/>
    <numFmt numFmtId="177" formatCode="0.0&quot;x&quot;"/>
  </numFmts>
  <fonts count="41" x14ac:knownFonts="1">
    <font>
      <sz val="11"/>
      <color theme="1"/>
      <name val="Calibri"/>
      <family val="2"/>
      <charset val="1"/>
    </font>
    <font>
      <b/>
      <sz val="14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8000"/>
      <name val="Calibri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0"/>
      <name val="Arial"/>
      <family val="2"/>
      <charset val="1"/>
    </font>
    <font>
      <i/>
      <sz val="11"/>
      <name val="Calibri"/>
      <family val="2"/>
      <charset val="1"/>
    </font>
    <font>
      <sz val="11"/>
      <color rgb="FF7030A0"/>
      <name val="Calibri"/>
      <family val="2"/>
      <charset val="1"/>
    </font>
    <font>
      <i/>
      <sz val="11"/>
      <color rgb="FF7030A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0000FF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9"/>
      <color rgb="FF333333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FF"/>
      <name val="Arial"/>
      <family val="2"/>
      <charset val="1"/>
    </font>
    <font>
      <sz val="9"/>
      <color rgb="FF008000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8"/>
      <color rgb="FF005400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8"/>
      <color rgb="FF0000AA"/>
      <name val="Arial"/>
      <family val="2"/>
      <charset val="1"/>
    </font>
    <font>
      <b/>
      <sz val="8"/>
      <color rgb="FF8B2500"/>
      <name val="Arial"/>
      <family val="2"/>
      <charset val="1"/>
    </font>
    <font>
      <sz val="9"/>
      <color rgb="FFAAAAAA"/>
      <name val="Arial"/>
      <family val="2"/>
      <charset val="1"/>
    </font>
    <font>
      <sz val="9"/>
      <color rgb="FFAAAAAA"/>
      <name val="Arial"/>
      <charset val="1"/>
    </font>
    <font>
      <sz val="9"/>
      <color rgb="FF008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8"/>
      <color rgb="FF555555"/>
      <name val="Arial"/>
      <family val="2"/>
      <charset val="1"/>
    </font>
    <font>
      <i/>
      <sz val="8"/>
      <color rgb="FF444444"/>
      <name val="Arial"/>
      <family val="2"/>
      <charset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3"/>
        <bgColor rgb="FF555555"/>
      </patternFill>
    </fill>
    <fill>
      <patternFill patternType="solid">
        <fgColor theme="4"/>
        <bgColor rgb="FF44546A"/>
      </patternFill>
    </fill>
    <fill>
      <patternFill patternType="solid">
        <fgColor theme="0"/>
        <bgColor rgb="FFFFF9E6"/>
      </patternFill>
    </fill>
    <fill>
      <patternFill patternType="solid">
        <fgColor theme="7" tint="0.79979857783745845"/>
        <bgColor rgb="FFFFF9E6"/>
      </patternFill>
    </fill>
    <fill>
      <patternFill patternType="solid">
        <fgColor theme="0" tint="-4.9989318521683403E-2"/>
        <bgColor rgb="FFF5F5F5"/>
      </patternFill>
    </fill>
    <fill>
      <patternFill patternType="solid">
        <fgColor rgb="FF1F2D3D"/>
        <bgColor rgb="FF333333"/>
      </patternFill>
    </fill>
    <fill>
      <patternFill patternType="solid">
        <fgColor rgb="FFF5F5F5"/>
        <bgColor rgb="FFF2F2F2"/>
      </patternFill>
    </fill>
    <fill>
      <patternFill patternType="solid">
        <fgColor rgb="FF2E4057"/>
        <bgColor rgb="FF444444"/>
      </patternFill>
    </fill>
    <fill>
      <patternFill patternType="solid">
        <fgColor rgb="FFE8EAF0"/>
        <bgColor rgb="FFDDEBF7"/>
      </patternFill>
    </fill>
    <fill>
      <patternFill patternType="solid">
        <fgColor rgb="FFC6EFCE"/>
        <bgColor rgb="FFD6E4F0"/>
      </patternFill>
    </fill>
    <fill>
      <patternFill patternType="solid">
        <fgColor rgb="FFDDEBF7"/>
        <bgColor rgb="FFE8EAF0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DEBF7"/>
      </patternFill>
    </fill>
    <fill>
      <patternFill patternType="solid">
        <fgColor rgb="FFB8D4EA"/>
        <bgColor rgb="FFD9D9D9"/>
      </patternFill>
    </fill>
    <fill>
      <patternFill patternType="solid">
        <fgColor rgb="FFFFF9E6"/>
        <bgColor rgb="FFF5F5F5"/>
      </patternFill>
    </fill>
    <fill>
      <patternFill patternType="solid">
        <fgColor theme="0"/>
        <bgColor rgb="FFFFFF00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165" fontId="5" fillId="0" borderId="0" xfId="0" applyNumberFormat="1" applyFont="1"/>
    <xf numFmtId="0" fontId="6" fillId="0" borderId="0" xfId="0" applyFont="1"/>
    <xf numFmtId="166" fontId="7" fillId="4" borderId="0" xfId="0" applyNumberFormat="1" applyFont="1" applyFill="1"/>
    <xf numFmtId="0" fontId="8" fillId="0" borderId="0" xfId="0" applyFont="1"/>
    <xf numFmtId="168" fontId="7" fillId="0" borderId="0" xfId="0" applyNumberFormat="1" applyFont="1" applyAlignment="1">
      <alignment horizontal="right"/>
    </xf>
    <xf numFmtId="9" fontId="7" fillId="4" borderId="2" xfId="0" applyNumberFormat="1" applyFont="1" applyFill="1" applyBorder="1" applyAlignment="1">
      <alignment horizontal="center"/>
    </xf>
    <xf numFmtId="169" fontId="7" fillId="0" borderId="0" xfId="0" applyNumberFormat="1" applyFon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66" fontId="5" fillId="0" borderId="0" xfId="0" applyNumberFormat="1" applyFont="1"/>
    <xf numFmtId="164" fontId="5" fillId="0" borderId="0" xfId="0" applyNumberFormat="1" applyFont="1"/>
    <xf numFmtId="169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9" fontId="5" fillId="0" borderId="0" xfId="0" applyNumberFormat="1" applyFont="1"/>
    <xf numFmtId="171" fontId="0" fillId="0" borderId="0" xfId="0" applyNumberFormat="1"/>
    <xf numFmtId="168" fontId="0" fillId="0" borderId="0" xfId="0" applyNumberFormat="1"/>
    <xf numFmtId="0" fontId="8" fillId="6" borderId="3" xfId="0" applyFont="1" applyFill="1" applyBorder="1"/>
    <xf numFmtId="0" fontId="8" fillId="6" borderId="4" xfId="0" applyFont="1" applyFill="1" applyBorder="1"/>
    <xf numFmtId="165" fontId="5" fillId="6" borderId="4" xfId="0" applyNumberFormat="1" applyFont="1" applyFill="1" applyBorder="1"/>
    <xf numFmtId="166" fontId="5" fillId="6" borderId="4" xfId="0" applyNumberFormat="1" applyFont="1" applyFill="1" applyBorder="1"/>
    <xf numFmtId="164" fontId="5" fillId="6" borderId="5" xfId="0" applyNumberFormat="1" applyFont="1" applyFill="1" applyBorder="1"/>
    <xf numFmtId="0" fontId="0" fillId="0" borderId="6" xfId="0" applyBorder="1"/>
    <xf numFmtId="165" fontId="5" fillId="0" borderId="6" xfId="0" applyNumberFormat="1" applyFont="1" applyBorder="1"/>
    <xf numFmtId="166" fontId="5" fillId="0" borderId="6" xfId="0" applyNumberFormat="1" applyFont="1" applyBorder="1"/>
    <xf numFmtId="164" fontId="5" fillId="0" borderId="6" xfId="0" applyNumberFormat="1" applyFont="1" applyBorder="1"/>
    <xf numFmtId="165" fontId="5" fillId="0" borderId="7" xfId="0" applyNumberFormat="1" applyFont="1" applyBorder="1"/>
    <xf numFmtId="0" fontId="9" fillId="0" borderId="0" xfId="0" applyFont="1"/>
    <xf numFmtId="0" fontId="0" fillId="0" borderId="7" xfId="0" applyBorder="1"/>
    <xf numFmtId="169" fontId="0" fillId="0" borderId="0" xfId="0" applyNumberFormat="1"/>
    <xf numFmtId="164" fontId="5" fillId="0" borderId="7" xfId="0" applyNumberFormat="1" applyFont="1" applyBorder="1"/>
    <xf numFmtId="10" fontId="7" fillId="4" borderId="0" xfId="0" applyNumberFormat="1" applyFont="1" applyFill="1" applyAlignment="1">
      <alignment horizontal="center"/>
    </xf>
    <xf numFmtId="167" fontId="11" fillId="0" borderId="7" xfId="0" applyNumberFormat="1" applyFont="1" applyBorder="1"/>
    <xf numFmtId="167" fontId="11" fillId="0" borderId="0" xfId="0" applyNumberFormat="1" applyFont="1"/>
    <xf numFmtId="165" fontId="5" fillId="5" borderId="0" xfId="0" applyNumberFormat="1" applyFont="1" applyFill="1"/>
    <xf numFmtId="169" fontId="12" fillId="0" borderId="7" xfId="0" applyNumberFormat="1" applyFont="1" applyBorder="1"/>
    <xf numFmtId="169" fontId="0" fillId="0" borderId="7" xfId="0" applyNumberFormat="1" applyBorder="1"/>
    <xf numFmtId="167" fontId="13" fillId="0" borderId="7" xfId="0" applyNumberFormat="1" applyFont="1" applyBorder="1"/>
    <xf numFmtId="167" fontId="13" fillId="0" borderId="0" xfId="0" applyNumberFormat="1" applyFont="1"/>
    <xf numFmtId="168" fontId="9" fillId="0" borderId="7" xfId="0" applyNumberFormat="1" applyFont="1" applyBorder="1"/>
    <xf numFmtId="0" fontId="0" fillId="0" borderId="8" xfId="0" applyBorder="1"/>
    <xf numFmtId="0" fontId="5" fillId="6" borderId="5" xfId="0" applyFont="1" applyFill="1" applyBorder="1"/>
    <xf numFmtId="165" fontId="5" fillId="6" borderId="5" xfId="0" applyNumberFormat="1" applyFont="1" applyFill="1" applyBorder="1"/>
    <xf numFmtId="170" fontId="0" fillId="0" borderId="0" xfId="0" applyNumberFormat="1"/>
    <xf numFmtId="169" fontId="0" fillId="0" borderId="1" xfId="0" applyNumberFormat="1" applyBorder="1"/>
    <xf numFmtId="169" fontId="8" fillId="0" borderId="0" xfId="0" applyNumberFormat="1" applyFont="1"/>
    <xf numFmtId="0" fontId="14" fillId="0" borderId="7" xfId="0" applyFont="1" applyBorder="1"/>
    <xf numFmtId="0" fontId="14" fillId="0" borderId="8" xfId="0" applyFont="1" applyBorder="1"/>
    <xf numFmtId="169" fontId="12" fillId="0" borderId="0" xfId="0" applyNumberFormat="1" applyFont="1"/>
    <xf numFmtId="172" fontId="12" fillId="0" borderId="1" xfId="0" applyNumberFormat="1" applyFont="1" applyBorder="1"/>
    <xf numFmtId="169" fontId="12" fillId="0" borderId="1" xfId="0" applyNumberFormat="1" applyFont="1" applyBorder="1"/>
    <xf numFmtId="169" fontId="8" fillId="6" borderId="5" xfId="0" applyNumberFormat="1" applyFont="1" applyFill="1" applyBorder="1"/>
    <xf numFmtId="14" fontId="5" fillId="0" borderId="0" xfId="0" applyNumberFormat="1" applyFont="1"/>
    <xf numFmtId="14" fontId="0" fillId="0" borderId="0" xfId="0" applyNumberFormat="1"/>
    <xf numFmtId="0" fontId="8" fillId="6" borderId="9" xfId="0" applyFont="1" applyFill="1" applyBorder="1"/>
    <xf numFmtId="0" fontId="8" fillId="6" borderId="6" xfId="0" applyFont="1" applyFill="1" applyBorder="1"/>
    <xf numFmtId="0" fontId="5" fillId="6" borderId="6" xfId="0" applyFont="1" applyFill="1" applyBorder="1"/>
    <xf numFmtId="166" fontId="5" fillId="6" borderId="10" xfId="0" applyNumberFormat="1" applyFont="1" applyFill="1" applyBorder="1"/>
    <xf numFmtId="0" fontId="8" fillId="6" borderId="11" xfId="0" applyFont="1" applyFill="1" applyBorder="1"/>
    <xf numFmtId="0" fontId="8" fillId="6" borderId="1" xfId="0" applyFont="1" applyFill="1" applyBorder="1"/>
    <xf numFmtId="164" fontId="5" fillId="6" borderId="1" xfId="0" applyNumberFormat="1" applyFont="1" applyFill="1" applyBorder="1"/>
    <xf numFmtId="164" fontId="5" fillId="6" borderId="8" xfId="0" applyNumberFormat="1" applyFont="1" applyFill="1" applyBorder="1"/>
    <xf numFmtId="165" fontId="0" fillId="0" borderId="0" xfId="0" applyNumberFormat="1"/>
    <xf numFmtId="165" fontId="0" fillId="0" borderId="6" xfId="0" applyNumberFormat="1" applyBorder="1"/>
    <xf numFmtId="0" fontId="0" fillId="6" borderId="4" xfId="0" applyFill="1" applyBorder="1"/>
    <xf numFmtId="9" fontId="0" fillId="6" borderId="4" xfId="0" applyNumberFormat="1" applyFill="1" applyBorder="1"/>
    <xf numFmtId="9" fontId="0" fillId="6" borderId="5" xfId="0" applyNumberFormat="1" applyFill="1" applyBorder="1"/>
    <xf numFmtId="0" fontId="18" fillId="8" borderId="13" xfId="0" applyFont="1" applyFill="1" applyBorder="1" applyAlignment="1">
      <alignment horizontal="center" vertical="center" wrapText="1"/>
    </xf>
    <xf numFmtId="0" fontId="19" fillId="9" borderId="13" xfId="0" applyFont="1" applyFill="1" applyBorder="1" applyAlignment="1">
      <alignment horizontal="center" vertical="center" wrapText="1"/>
    </xf>
    <xf numFmtId="0" fontId="18" fillId="8" borderId="13" xfId="0" applyFont="1" applyFill="1" applyBorder="1" applyAlignment="1">
      <alignment horizontal="left" vertical="center"/>
    </xf>
    <xf numFmtId="0" fontId="23" fillId="8" borderId="13" xfId="0" applyFont="1" applyFill="1" applyBorder="1" applyAlignment="1">
      <alignment horizontal="left" vertical="center"/>
    </xf>
    <xf numFmtId="173" fontId="24" fillId="11" borderId="13" xfId="0" applyNumberFormat="1" applyFont="1" applyFill="1" applyBorder="1" applyAlignment="1">
      <alignment horizontal="center" vertical="center" wrapText="1"/>
    </xf>
    <xf numFmtId="173" fontId="24" fillId="12" borderId="13" xfId="0" applyNumberFormat="1" applyFont="1" applyFill="1" applyBorder="1" applyAlignment="1">
      <alignment horizontal="center" vertical="center" wrapText="1"/>
    </xf>
    <xf numFmtId="173" fontId="24" fillId="13" borderId="13" xfId="0" applyNumberFormat="1" applyFont="1" applyFill="1" applyBorder="1" applyAlignment="1">
      <alignment horizontal="center" vertical="center" wrapText="1"/>
    </xf>
    <xf numFmtId="170" fontId="24" fillId="11" borderId="13" xfId="0" applyNumberFormat="1" applyFont="1" applyFill="1" applyBorder="1" applyAlignment="1">
      <alignment horizontal="center" vertical="center" wrapText="1"/>
    </xf>
    <xf numFmtId="170" fontId="24" fillId="12" borderId="13" xfId="0" applyNumberFormat="1" applyFont="1" applyFill="1" applyBorder="1" applyAlignment="1">
      <alignment horizontal="center" vertical="center" wrapText="1"/>
    </xf>
    <xf numFmtId="170" fontId="24" fillId="13" borderId="13" xfId="0" applyNumberFormat="1" applyFont="1" applyFill="1" applyBorder="1" applyAlignment="1">
      <alignment horizontal="center" vertical="center" wrapText="1"/>
    </xf>
    <xf numFmtId="0" fontId="26" fillId="9" borderId="13" xfId="0" applyFont="1" applyFill="1" applyBorder="1" applyAlignment="1">
      <alignment horizontal="left" vertical="center"/>
    </xf>
    <xf numFmtId="0" fontId="26" fillId="9" borderId="13" xfId="0" applyFont="1" applyFill="1" applyBorder="1" applyAlignment="1">
      <alignment horizontal="center" vertical="center"/>
    </xf>
    <xf numFmtId="0" fontId="27" fillId="8" borderId="13" xfId="0" applyFont="1" applyFill="1" applyBorder="1" applyAlignment="1">
      <alignment horizontal="left" vertical="center"/>
    </xf>
    <xf numFmtId="174" fontId="23" fillId="11" borderId="13" xfId="0" applyNumberFormat="1" applyFont="1" applyFill="1" applyBorder="1" applyAlignment="1">
      <alignment horizontal="center" vertical="center" wrapText="1"/>
    </xf>
    <xf numFmtId="0" fontId="28" fillId="8" borderId="13" xfId="0" applyFont="1" applyFill="1" applyBorder="1" applyAlignment="1">
      <alignment horizontal="left" vertical="center"/>
    </xf>
    <xf numFmtId="174" fontId="23" fillId="11" borderId="13" xfId="0" applyNumberFormat="1" applyFont="1" applyFill="1" applyBorder="1" applyAlignment="1">
      <alignment horizontal="center" vertical="center"/>
    </xf>
    <xf numFmtId="174" fontId="23" fillId="12" borderId="13" xfId="0" applyNumberFormat="1" applyFont="1" applyFill="1" applyBorder="1" applyAlignment="1">
      <alignment horizontal="center" vertical="center"/>
    </xf>
    <xf numFmtId="174" fontId="23" fillId="13" borderId="13" xfId="0" applyNumberFormat="1" applyFont="1" applyFill="1" applyBorder="1" applyAlignment="1">
      <alignment horizontal="center" vertical="center"/>
    </xf>
    <xf numFmtId="0" fontId="29" fillId="8" borderId="13" xfId="0" applyFont="1" applyFill="1" applyBorder="1" applyAlignment="1">
      <alignment horizontal="left" vertical="center"/>
    </xf>
    <xf numFmtId="174" fontId="25" fillId="12" borderId="13" xfId="0" applyNumberFormat="1" applyFont="1" applyFill="1" applyBorder="1" applyAlignment="1">
      <alignment horizontal="center" vertical="center" wrapText="1"/>
    </xf>
    <xf numFmtId="170" fontId="23" fillId="11" borderId="13" xfId="0" applyNumberFormat="1" applyFont="1" applyFill="1" applyBorder="1" applyAlignment="1">
      <alignment horizontal="center" vertical="center"/>
    </xf>
    <xf numFmtId="170" fontId="23" fillId="12" borderId="13" xfId="0" applyNumberFormat="1" applyFont="1" applyFill="1" applyBorder="1" applyAlignment="1">
      <alignment horizontal="center" vertical="center"/>
    </xf>
    <xf numFmtId="170" fontId="23" fillId="13" borderId="13" xfId="0" applyNumberFormat="1" applyFont="1" applyFill="1" applyBorder="1" applyAlignment="1">
      <alignment horizontal="center" vertical="center"/>
    </xf>
    <xf numFmtId="0" fontId="30" fillId="8" borderId="13" xfId="0" applyFont="1" applyFill="1" applyBorder="1" applyAlignment="1">
      <alignment horizontal="left" vertical="center"/>
    </xf>
    <xf numFmtId="174" fontId="23" fillId="13" borderId="13" xfId="0" applyNumberFormat="1" applyFont="1" applyFill="1" applyBorder="1" applyAlignment="1">
      <alignment horizontal="center" vertical="center" wrapText="1"/>
    </xf>
    <xf numFmtId="0" fontId="23" fillId="4" borderId="13" xfId="0" applyFont="1" applyFill="1" applyBorder="1" applyAlignment="1">
      <alignment horizontal="left" vertical="center"/>
    </xf>
    <xf numFmtId="0" fontId="23" fillId="4" borderId="13" xfId="0" applyFont="1" applyFill="1" applyBorder="1" applyAlignment="1">
      <alignment horizontal="center" vertical="center"/>
    </xf>
    <xf numFmtId="175" fontId="23" fillId="11" borderId="13" xfId="0" applyNumberFormat="1" applyFont="1" applyFill="1" applyBorder="1" applyAlignment="1">
      <alignment horizontal="center" vertical="center"/>
    </xf>
    <xf numFmtId="175" fontId="23" fillId="12" borderId="13" xfId="0" applyNumberFormat="1" applyFont="1" applyFill="1" applyBorder="1" applyAlignment="1">
      <alignment horizontal="center" vertical="center"/>
    </xf>
    <xf numFmtId="175" fontId="23" fillId="13" borderId="13" xfId="0" applyNumberFormat="1" applyFont="1" applyFill="1" applyBorder="1" applyAlignment="1">
      <alignment horizontal="center" vertical="center"/>
    </xf>
    <xf numFmtId="173" fontId="23" fillId="11" borderId="13" xfId="0" applyNumberFormat="1" applyFont="1" applyFill="1" applyBorder="1" applyAlignment="1">
      <alignment horizontal="center" vertical="center" wrapText="1"/>
    </xf>
    <xf numFmtId="173" fontId="23" fillId="11" borderId="13" xfId="0" applyNumberFormat="1" applyFont="1" applyFill="1" applyBorder="1" applyAlignment="1">
      <alignment horizontal="center" vertical="center"/>
    </xf>
    <xf numFmtId="173" fontId="23" fillId="12" borderId="13" xfId="0" applyNumberFormat="1" applyFont="1" applyFill="1" applyBorder="1" applyAlignment="1">
      <alignment horizontal="center" vertical="center"/>
    </xf>
    <xf numFmtId="173" fontId="23" fillId="13" borderId="13" xfId="0" applyNumberFormat="1" applyFont="1" applyFill="1" applyBorder="1" applyAlignment="1">
      <alignment horizontal="center" vertical="center"/>
    </xf>
    <xf numFmtId="173" fontId="23" fillId="12" borderId="13" xfId="0" applyNumberFormat="1" applyFont="1" applyFill="1" applyBorder="1" applyAlignment="1">
      <alignment horizontal="center" vertical="center" wrapText="1"/>
    </xf>
    <xf numFmtId="173" fontId="23" fillId="13" borderId="13" xfId="0" applyNumberFormat="1" applyFont="1" applyFill="1" applyBorder="1" applyAlignment="1">
      <alignment horizontal="center" vertical="center" wrapText="1"/>
    </xf>
    <xf numFmtId="174" fontId="24" fillId="11" borderId="13" xfId="0" applyNumberFormat="1" applyFont="1" applyFill="1" applyBorder="1" applyAlignment="1">
      <alignment horizontal="center" vertical="center" wrapText="1"/>
    </xf>
    <xf numFmtId="170" fontId="23" fillId="11" borderId="13" xfId="0" applyNumberFormat="1" applyFont="1" applyFill="1" applyBorder="1" applyAlignment="1">
      <alignment horizontal="center" vertical="center" wrapText="1"/>
    </xf>
    <xf numFmtId="170" fontId="23" fillId="12" borderId="13" xfId="0" applyNumberFormat="1" applyFont="1" applyFill="1" applyBorder="1" applyAlignment="1">
      <alignment horizontal="center" vertical="center" wrapText="1"/>
    </xf>
    <xf numFmtId="170" fontId="23" fillId="13" borderId="13" xfId="0" applyNumberFormat="1" applyFont="1" applyFill="1" applyBorder="1" applyAlignment="1">
      <alignment horizontal="center" vertical="center" wrapText="1"/>
    </xf>
    <xf numFmtId="174" fontId="23" fillId="12" borderId="13" xfId="0" applyNumberFormat="1" applyFont="1" applyFill="1" applyBorder="1" applyAlignment="1">
      <alignment horizontal="center" vertical="center" wrapText="1"/>
    </xf>
    <xf numFmtId="175" fontId="23" fillId="11" borderId="13" xfId="0" applyNumberFormat="1" applyFont="1" applyFill="1" applyBorder="1" applyAlignment="1">
      <alignment horizontal="center" vertical="center" wrapText="1"/>
    </xf>
    <xf numFmtId="175" fontId="23" fillId="12" borderId="13" xfId="0" applyNumberFormat="1" applyFont="1" applyFill="1" applyBorder="1" applyAlignment="1">
      <alignment horizontal="center" vertical="center" wrapText="1"/>
    </xf>
    <xf numFmtId="175" fontId="23" fillId="13" borderId="13" xfId="0" applyNumberFormat="1" applyFont="1" applyFill="1" applyBorder="1" applyAlignment="1">
      <alignment horizontal="center" vertical="center" wrapText="1"/>
    </xf>
    <xf numFmtId="0" fontId="31" fillId="8" borderId="13" xfId="0" applyFont="1" applyFill="1" applyBorder="1" applyAlignment="1">
      <alignment horizontal="left" vertical="center"/>
    </xf>
    <xf numFmtId="176" fontId="32" fillId="8" borderId="13" xfId="0" applyNumberFormat="1" applyFont="1" applyFill="1" applyBorder="1" applyAlignment="1">
      <alignment horizontal="center" vertical="center"/>
    </xf>
    <xf numFmtId="174" fontId="33" fillId="11" borderId="13" xfId="0" applyNumberFormat="1" applyFont="1" applyFill="1" applyBorder="1" applyAlignment="1">
      <alignment horizontal="center" vertical="center"/>
    </xf>
    <xf numFmtId="174" fontId="34" fillId="11" borderId="13" xfId="0" applyNumberFormat="1" applyFont="1" applyFill="1" applyBorder="1" applyAlignment="1">
      <alignment horizontal="center" vertical="center"/>
    </xf>
    <xf numFmtId="174" fontId="33" fillId="12" borderId="13" xfId="0" applyNumberFormat="1" applyFont="1" applyFill="1" applyBorder="1" applyAlignment="1">
      <alignment horizontal="center" vertical="center"/>
    </xf>
    <xf numFmtId="174" fontId="34" fillId="12" borderId="13" xfId="0" applyNumberFormat="1" applyFont="1" applyFill="1" applyBorder="1" applyAlignment="1">
      <alignment horizontal="center" vertical="center"/>
    </xf>
    <xf numFmtId="174" fontId="33" fillId="13" borderId="13" xfId="0" applyNumberFormat="1" applyFont="1" applyFill="1" applyBorder="1" applyAlignment="1">
      <alignment horizontal="center" vertical="center"/>
    </xf>
    <xf numFmtId="174" fontId="34" fillId="13" borderId="13" xfId="0" applyNumberFormat="1" applyFont="1" applyFill="1" applyBorder="1" applyAlignment="1">
      <alignment horizontal="center" vertical="center"/>
    </xf>
    <xf numFmtId="173" fontId="35" fillId="11" borderId="13" xfId="0" applyNumberFormat="1" applyFont="1" applyFill="1" applyBorder="1" applyAlignment="1">
      <alignment horizontal="center" vertical="center"/>
    </xf>
    <xf numFmtId="173" fontId="35" fillId="12" borderId="13" xfId="0" applyNumberFormat="1" applyFont="1" applyFill="1" applyBorder="1" applyAlignment="1">
      <alignment horizontal="center" vertical="center"/>
    </xf>
    <xf numFmtId="173" fontId="35" fillId="13" borderId="13" xfId="0" applyNumberFormat="1" applyFont="1" applyFill="1" applyBorder="1" applyAlignment="1">
      <alignment horizontal="center" vertical="center"/>
    </xf>
    <xf numFmtId="174" fontId="23" fillId="15" borderId="13" xfId="0" applyNumberFormat="1" applyFont="1" applyFill="1" applyBorder="1" applyAlignment="1">
      <alignment horizontal="center" vertical="center" wrapText="1"/>
    </xf>
    <xf numFmtId="173" fontId="23" fillId="15" borderId="13" xfId="0" applyNumberFormat="1" applyFont="1" applyFill="1" applyBorder="1" applyAlignment="1">
      <alignment horizontal="center" vertical="center" wrapText="1"/>
    </xf>
    <xf numFmtId="170" fontId="23" fillId="15" borderId="1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10" fontId="7" fillId="4" borderId="2" xfId="0" applyNumberFormat="1" applyFont="1" applyFill="1" applyBorder="1" applyAlignment="1">
      <alignment horizontal="center"/>
    </xf>
    <xf numFmtId="0" fontId="3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 wrapText="1"/>
    </xf>
    <xf numFmtId="0" fontId="20" fillId="18" borderId="14" xfId="0" applyFont="1" applyFill="1" applyBorder="1" applyAlignment="1">
      <alignment horizontal="center" vertical="center" wrapText="1"/>
    </xf>
    <xf numFmtId="166" fontId="7" fillId="18" borderId="1" xfId="0" applyNumberFormat="1" applyFont="1" applyFill="1" applyBorder="1"/>
    <xf numFmtId="165" fontId="7" fillId="18" borderId="1" xfId="0" applyNumberFormat="1" applyFont="1" applyFill="1" applyBorder="1"/>
    <xf numFmtId="165" fontId="5" fillId="4" borderId="0" xfId="0" applyNumberFormat="1" applyFont="1" applyFill="1"/>
    <xf numFmtId="170" fontId="7" fillId="18" borderId="6" xfId="0" applyNumberFormat="1" applyFont="1" applyFill="1" applyBorder="1"/>
    <xf numFmtId="165" fontId="7" fillId="18" borderId="0" xfId="0" applyNumberFormat="1" applyFont="1" applyFill="1"/>
    <xf numFmtId="0" fontId="39" fillId="0" borderId="0" xfId="0" applyFont="1"/>
    <xf numFmtId="164" fontId="7" fillId="4" borderId="0" xfId="0" applyNumberFormat="1" applyFont="1" applyFill="1"/>
    <xf numFmtId="164" fontId="7" fillId="18" borderId="0" xfId="0" applyNumberFormat="1" applyFont="1" applyFill="1"/>
    <xf numFmtId="164" fontId="7" fillId="18" borderId="1" xfId="0" applyNumberFormat="1" applyFont="1" applyFill="1" applyBorder="1"/>
    <xf numFmtId="165" fontId="7" fillId="18" borderId="4" xfId="0" applyNumberFormat="1" applyFont="1" applyFill="1" applyBorder="1"/>
    <xf numFmtId="9" fontId="10" fillId="0" borderId="0" xfId="0" applyNumberFormat="1" applyFont="1" applyAlignment="1">
      <alignment horizontal="center"/>
    </xf>
    <xf numFmtId="164" fontId="7" fillId="0" borderId="7" xfId="0" applyNumberFormat="1" applyFont="1" applyBorder="1"/>
    <xf numFmtId="164" fontId="7" fillId="0" borderId="0" xfId="0" applyNumberFormat="1" applyFont="1"/>
    <xf numFmtId="10" fontId="7" fillId="0" borderId="0" xfId="0" applyNumberFormat="1" applyFont="1"/>
    <xf numFmtId="165" fontId="7" fillId="0" borderId="7" xfId="0" applyNumberFormat="1" applyFont="1" applyBorder="1"/>
    <xf numFmtId="165" fontId="7" fillId="0" borderId="0" xfId="0" applyNumberFormat="1" applyFont="1"/>
    <xf numFmtId="0" fontId="7" fillId="0" borderId="7" xfId="0" applyFont="1" applyBorder="1"/>
    <xf numFmtId="167" fontId="7" fillId="4" borderId="0" xfId="0" applyNumberFormat="1" applyFont="1" applyFill="1"/>
    <xf numFmtId="166" fontId="7" fillId="18" borderId="0" xfId="0" applyNumberFormat="1" applyFont="1" applyFill="1"/>
    <xf numFmtId="167" fontId="0" fillId="18" borderId="0" xfId="0" applyNumberFormat="1" applyFill="1"/>
    <xf numFmtId="0" fontId="2" fillId="3" borderId="1" xfId="0" applyFont="1" applyFill="1" applyBorder="1" applyAlignment="1">
      <alignment horizontal="right"/>
    </xf>
    <xf numFmtId="0" fontId="40" fillId="0" borderId="0" xfId="0" applyFont="1"/>
    <xf numFmtId="0" fontId="36" fillId="0" borderId="12" xfId="0" applyFont="1" applyBorder="1" applyAlignment="1">
      <alignment horizontal="left" vertical="center"/>
    </xf>
    <xf numFmtId="0" fontId="17" fillId="7" borderId="12" xfId="0" applyFont="1" applyFill="1" applyBorder="1" applyAlignment="1">
      <alignment horizontal="center" vertical="center" wrapText="1"/>
    </xf>
    <xf numFmtId="0" fontId="37" fillId="17" borderId="12" xfId="0" applyFont="1" applyFill="1" applyBorder="1" applyAlignment="1">
      <alignment horizontal="left" vertical="center"/>
    </xf>
    <xf numFmtId="0" fontId="22" fillId="15" borderId="12" xfId="0" applyFont="1" applyFill="1" applyBorder="1" applyAlignment="1">
      <alignment horizontal="left" vertical="center"/>
    </xf>
    <xf numFmtId="0" fontId="22" fillId="8" borderId="12" xfId="0" applyFont="1" applyFill="1" applyBorder="1" applyAlignment="1">
      <alignment horizontal="left" vertical="center"/>
    </xf>
    <xf numFmtId="0" fontId="22" fillId="16" borderId="12" xfId="0" applyFont="1" applyFill="1" applyBorder="1" applyAlignment="1">
      <alignment horizontal="left" vertical="center"/>
    </xf>
    <xf numFmtId="0" fontId="22" fillId="14" borderId="12" xfId="0" applyFont="1" applyFill="1" applyBorder="1" applyAlignment="1">
      <alignment horizontal="left" vertical="center"/>
    </xf>
    <xf numFmtId="174" fontId="25" fillId="8" borderId="12" xfId="0" applyNumberFormat="1" applyFont="1" applyFill="1" applyBorder="1" applyAlignment="1">
      <alignment horizontal="center" vertical="center" wrapText="1"/>
    </xf>
    <xf numFmtId="0" fontId="22" fillId="10" borderId="12" xfId="0" applyFont="1" applyFill="1" applyBorder="1" applyAlignment="1">
      <alignment horizontal="left" vertical="center"/>
    </xf>
    <xf numFmtId="170" fontId="25" fillId="8" borderId="12" xfId="0" applyNumberFormat="1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AA"/>
      <rgbColor rgb="FF808000"/>
      <rgbColor rgb="FF800080"/>
      <rgbColor rgb="FF44546A"/>
      <rgbColor rgb="FFD9D9D9"/>
      <rgbColor rgb="FF888888"/>
      <rgbColor rgb="FF9999FF"/>
      <rgbColor rgb="FF7030A0"/>
      <rgbColor rgb="FFFFF9E6"/>
      <rgbColor rgb="FFDDEBF7"/>
      <rgbColor rgb="FF660066"/>
      <rgbColor rgb="FFFF8080"/>
      <rgbColor rgb="FF0066CC"/>
      <rgbColor rgb="FFB8D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F2CC"/>
      <rgbColor rgb="FFE8EAF0"/>
      <rgbColor rgb="FFF2F2F2"/>
      <rgbColor rgb="FFF5F5F5"/>
      <rgbColor rgb="FFFCE4D6"/>
      <rgbColor rgb="FF4472C4"/>
      <rgbColor rgb="FF33CCCC"/>
      <rgbColor rgb="FF99CC00"/>
      <rgbColor rgb="FFFFCC00"/>
      <rgbColor rgb="FFFF9900"/>
      <rgbColor rgb="FFFF6600"/>
      <rgbColor rgb="FF555555"/>
      <rgbColor rgb="FFAAAAAA"/>
      <rgbColor rgb="FF1F2D3D"/>
      <rgbColor rgb="FF339966"/>
      <rgbColor rgb="FF005400"/>
      <rgbColor rgb="FF444444"/>
      <rgbColor rgb="FF8B2500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:\Users\C:\Users\C:\C:\Users\ben\Desktop\rareliquid\Excels\2024.0.13%20-%20Burger%20King%20LBO%20Stream%20-%20Part%202%20-%20vSTRE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FC5FC1-5903-4FD6-98CA-116EE1CB5E79}" name="Table1" displayName="Table1" ref="A1:F10" headerRowDxfId="13" dataDxfId="12">
  <autoFilter ref="A1:F10" xr:uid="{9FFC5FC1-5903-4FD6-98CA-116EE1CB5E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5455767-43EC-4791-B2E7-DB3BF8AC510A}" name="Company" totalsRowLabel="Total" dataDxfId="11" totalsRowDxfId="10"/>
    <tableColumn id="2" xr3:uid="{972C40C6-5963-43B5-97B9-F1F1E65C9717}" name="Market Cap ($M)" dataDxfId="9" totalsRowDxfId="8"/>
    <tableColumn id="3" xr3:uid="{3953A721-0C36-4488-8418-3C3AF60F6529}" name="EV ($M)" dataDxfId="7" totalsRowDxfId="6"/>
    <tableColumn id="4" xr3:uid="{48883447-D4D9-47FD-ADA7-B9824CA7459F}" name="Net Debt ($M)" dataDxfId="5" totalsRowDxfId="4"/>
    <tableColumn id="5" xr3:uid="{DA666D8A-7F38-49D5-841D-7085D8E7D39C}" name="EV / Revenue (LTM)" dataDxfId="3" totalsRowDxfId="2"/>
    <tableColumn id="6" xr3:uid="{77F099CE-6719-487F-95BA-81D293A25873}" name="EV / EBITDA (LTM)" totalsRowFunction="count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20"/>
  <sheetViews>
    <sheetView showGridLines="0" topLeftCell="A63" zoomScale="94" zoomScaleNormal="81" workbookViewId="0">
      <selection activeCell="E15" sqref="E15"/>
    </sheetView>
  </sheetViews>
  <sheetFormatPr defaultColWidth="8.77734375" defaultRowHeight="14.4" x14ac:dyDescent="0.3"/>
  <cols>
    <col min="1" max="1" width="3.6640625" style="1" customWidth="1"/>
    <col min="10" max="10" width="11.5546875" customWidth="1"/>
    <col min="11" max="19" width="13.33203125" customWidth="1"/>
    <col min="21" max="21" width="23" customWidth="1"/>
    <col min="24" max="24" width="22.77734375" customWidth="1"/>
  </cols>
  <sheetData>
    <row r="2" spans="1:24" s="4" customFormat="1" ht="21" customHeight="1" x14ac:dyDescent="0.35">
      <c r="A2" s="2"/>
      <c r="B2" s="3" t="s">
        <v>217</v>
      </c>
    </row>
    <row r="4" spans="1:24" ht="14.25" customHeight="1" x14ac:dyDescent="0.3">
      <c r="A4" s="1" t="s">
        <v>0</v>
      </c>
      <c r="B4" s="5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4" ht="6" customHeight="1" x14ac:dyDescent="0.3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U5" s="9"/>
      <c r="V5" s="10"/>
    </row>
    <row r="6" spans="1:24" ht="14.25" customHeight="1" x14ac:dyDescent="0.3">
      <c r="B6" s="11" t="s">
        <v>2</v>
      </c>
      <c r="C6" s="11"/>
      <c r="D6" s="11"/>
      <c r="E6" s="11"/>
      <c r="G6" s="11" t="s">
        <v>3</v>
      </c>
      <c r="H6" s="11"/>
      <c r="I6" s="11"/>
      <c r="J6" s="12"/>
      <c r="L6" s="11" t="s">
        <v>4</v>
      </c>
      <c r="M6" s="11"/>
      <c r="N6" s="166" t="s">
        <v>5</v>
      </c>
      <c r="O6" s="166" t="s">
        <v>6</v>
      </c>
      <c r="P6" s="166" t="s">
        <v>7</v>
      </c>
      <c r="Q6" s="166" t="s">
        <v>8</v>
      </c>
      <c r="R6" s="166" t="s">
        <v>9</v>
      </c>
      <c r="S6" s="166" t="s">
        <v>10</v>
      </c>
      <c r="U6" s="9"/>
      <c r="V6" s="10"/>
    </row>
    <row r="7" spans="1:24" ht="14.25" customHeight="1" x14ac:dyDescent="0.3">
      <c r="B7" t="s">
        <v>11</v>
      </c>
      <c r="E7" s="13">
        <f>11.5259</f>
        <v>11.5259</v>
      </c>
      <c r="G7" s="167" t="s">
        <v>218</v>
      </c>
      <c r="L7" s="151" t="s">
        <v>12</v>
      </c>
      <c r="N7" s="164">
        <v>5</v>
      </c>
      <c r="O7" s="165">
        <f>4.5% + V9</f>
        <v>8.14E-2</v>
      </c>
      <c r="P7" s="165">
        <f>4.5% + V10</f>
        <v>8.09E-2</v>
      </c>
      <c r="Q7" s="165">
        <f>4.5% + V11</f>
        <v>0.08</v>
      </c>
      <c r="R7" s="165">
        <f>4.5% + V12</f>
        <v>0.08</v>
      </c>
      <c r="S7" s="165">
        <f>4.5% + V13</f>
        <v>0.08</v>
      </c>
      <c r="U7" t="s">
        <v>13</v>
      </c>
    </row>
    <row r="8" spans="1:24" ht="14.25" customHeight="1" x14ac:dyDescent="0.3">
      <c r="B8" s="4" t="s">
        <v>14</v>
      </c>
      <c r="C8" s="4"/>
      <c r="D8" s="4"/>
      <c r="E8" s="146">
        <v>8.5</v>
      </c>
      <c r="G8" t="s">
        <v>15</v>
      </c>
      <c r="H8" s="151"/>
      <c r="I8" s="151"/>
      <c r="J8" s="147">
        <v>68.38</v>
      </c>
      <c r="N8" s="15"/>
      <c r="O8" s="163"/>
      <c r="R8" s="9"/>
      <c r="U8" t="s">
        <v>16</v>
      </c>
      <c r="V8" t="s">
        <v>17</v>
      </c>
      <c r="X8" t="s">
        <v>18</v>
      </c>
    </row>
    <row r="9" spans="1:24" ht="14.25" customHeight="1" x14ac:dyDescent="0.3">
      <c r="B9" s="16" t="s">
        <v>19</v>
      </c>
      <c r="C9" s="16"/>
      <c r="D9" s="16"/>
      <c r="E9" s="13">
        <f>E7*E8</f>
        <v>97.970150000000004</v>
      </c>
      <c r="G9" t="s">
        <v>20</v>
      </c>
      <c r="H9" s="151"/>
      <c r="I9" s="151"/>
      <c r="J9" s="155">
        <v>11.5259</v>
      </c>
      <c r="K9" s="17"/>
      <c r="R9" s="9"/>
      <c r="S9" s="9"/>
      <c r="U9" s="9" t="s">
        <v>21</v>
      </c>
      <c r="V9" s="10">
        <v>3.6400000000000002E-2</v>
      </c>
      <c r="X9" t="s">
        <v>22</v>
      </c>
    </row>
    <row r="10" spans="1:24" ht="14.25" customHeight="1" x14ac:dyDescent="0.3">
      <c r="B10" s="4" t="s">
        <v>23</v>
      </c>
      <c r="C10" s="4"/>
      <c r="D10" s="4"/>
      <c r="E10" s="147">
        <v>13</v>
      </c>
      <c r="G10" t="s">
        <v>24</v>
      </c>
      <c r="H10" s="151"/>
      <c r="I10" s="151"/>
      <c r="J10" s="155">
        <v>2.85</v>
      </c>
      <c r="L10" s="11" t="s">
        <v>25</v>
      </c>
      <c r="M10" s="11"/>
      <c r="N10" s="12"/>
      <c r="O10" s="12"/>
      <c r="P10" s="12"/>
      <c r="Q10" s="12"/>
      <c r="R10" s="12"/>
      <c r="S10" s="12"/>
      <c r="U10" s="9" t="s">
        <v>26</v>
      </c>
      <c r="V10" s="10">
        <v>3.5900000000000001E-2</v>
      </c>
      <c r="X10" t="s">
        <v>27</v>
      </c>
    </row>
    <row r="11" spans="1:24" ht="14.25" customHeight="1" x14ac:dyDescent="0.3">
      <c r="B11" s="16" t="s">
        <v>28</v>
      </c>
      <c r="C11" s="16"/>
      <c r="D11" s="16"/>
      <c r="E11" s="13">
        <f>E9-E10</f>
        <v>84.970150000000004</v>
      </c>
      <c r="G11" t="s">
        <v>29</v>
      </c>
      <c r="H11" s="151"/>
      <c r="I11" s="151"/>
      <c r="J11" s="155">
        <v>5.1284999999999998</v>
      </c>
      <c r="L11" t="s">
        <v>30</v>
      </c>
      <c r="O11" s="140">
        <f ca="1">O109</f>
        <v>0.222617095708847</v>
      </c>
      <c r="R11" s="9"/>
      <c r="S11" s="10"/>
      <c r="U11" s="9" t="s">
        <v>31</v>
      </c>
      <c r="V11" s="10">
        <v>3.5000000000000003E-2</v>
      </c>
      <c r="X11" t="s">
        <v>32</v>
      </c>
    </row>
    <row r="12" spans="1:24" ht="14.25" customHeight="1" x14ac:dyDescent="0.3">
      <c r="B12" t="s">
        <v>33</v>
      </c>
      <c r="E12" s="148">
        <f ca="1">0.02*E27</f>
        <v>1.1003458163265309</v>
      </c>
      <c r="G12" t="s">
        <v>34</v>
      </c>
      <c r="H12" s="151"/>
      <c r="I12" s="151"/>
      <c r="J12" s="150">
        <v>1.7095</v>
      </c>
      <c r="R12" s="9"/>
      <c r="S12" s="10"/>
      <c r="U12" s="9" t="s">
        <v>35</v>
      </c>
      <c r="V12" s="10">
        <v>3.5000000000000003E-2</v>
      </c>
      <c r="X12" t="s">
        <v>36</v>
      </c>
    </row>
    <row r="13" spans="1:24" ht="14.25" customHeight="1" x14ac:dyDescent="0.3">
      <c r="U13" s="9" t="s">
        <v>37</v>
      </c>
      <c r="V13" s="10">
        <v>3.5000000000000003E-2</v>
      </c>
      <c r="X13" t="s">
        <v>38</v>
      </c>
    </row>
    <row r="14" spans="1:24" ht="14.25" customHeight="1" x14ac:dyDescent="0.3">
      <c r="E14" s="19"/>
      <c r="G14" s="14" t="s">
        <v>39</v>
      </c>
      <c r="J14" s="152"/>
    </row>
    <row r="15" spans="1:24" ht="14.25" customHeight="1" x14ac:dyDescent="0.3">
      <c r="B15" s="11" t="s">
        <v>40</v>
      </c>
      <c r="C15" s="11"/>
      <c r="D15" s="11"/>
      <c r="E15" s="11"/>
      <c r="G15" t="s">
        <v>41</v>
      </c>
      <c r="J15" s="154">
        <v>0.01</v>
      </c>
    </row>
    <row r="16" spans="1:24" ht="14.25" customHeight="1" x14ac:dyDescent="0.3">
      <c r="B16" t="s">
        <v>14</v>
      </c>
      <c r="E16" s="149">
        <v>8.5</v>
      </c>
      <c r="G16" t="s">
        <v>42</v>
      </c>
      <c r="J16" s="153">
        <v>0.21</v>
      </c>
    </row>
    <row r="17" spans="1:15" ht="14.25" customHeight="1" x14ac:dyDescent="0.3">
      <c r="J17" s="152"/>
    </row>
    <row r="18" spans="1:15" ht="14.25" customHeight="1" x14ac:dyDescent="0.3">
      <c r="J18" s="20"/>
    </row>
    <row r="19" spans="1:15" ht="14.25" customHeight="1" x14ac:dyDescent="0.3">
      <c r="A19" s="1" t="s">
        <v>0</v>
      </c>
      <c r="B19" s="5" t="s">
        <v>43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4.5" customHeight="1" x14ac:dyDescent="0.3">
      <c r="J20" s="20"/>
    </row>
    <row r="21" spans="1:15" ht="14.25" customHeight="1" x14ac:dyDescent="0.3">
      <c r="B21" s="11" t="s">
        <v>44</v>
      </c>
      <c r="C21" s="11"/>
      <c r="D21" s="11"/>
      <c r="E21" s="11"/>
      <c r="F21" s="11"/>
      <c r="G21" s="11"/>
      <c r="J21" s="11" t="s">
        <v>45</v>
      </c>
      <c r="K21" s="11"/>
      <c r="L21" s="11"/>
      <c r="M21" s="11"/>
      <c r="N21" s="11"/>
      <c r="O21" s="11"/>
    </row>
    <row r="22" spans="1:15" ht="14.25" customHeight="1" x14ac:dyDescent="0.3">
      <c r="E22" s="21" t="s">
        <v>5</v>
      </c>
      <c r="F22" s="21" t="s">
        <v>46</v>
      </c>
      <c r="G22" s="21" t="s">
        <v>47</v>
      </c>
      <c r="M22" s="21" t="s">
        <v>5</v>
      </c>
      <c r="N22" s="21" t="s">
        <v>46</v>
      </c>
      <c r="O22" s="21" t="s">
        <v>47</v>
      </c>
    </row>
    <row r="23" spans="1:15" ht="14.25" customHeight="1" x14ac:dyDescent="0.3">
      <c r="B23" t="s">
        <v>12</v>
      </c>
      <c r="E23" s="13">
        <f>N7*$E$7</f>
        <v>57.6295</v>
      </c>
      <c r="F23" s="22">
        <f>E23/$E$7</f>
        <v>5</v>
      </c>
      <c r="G23" s="23">
        <f ca="1">E23/$E$29</f>
        <v>0.5115946897587732</v>
      </c>
      <c r="J23" t="s">
        <v>48</v>
      </c>
      <c r="M23" s="13">
        <f>E9</f>
        <v>97.970150000000004</v>
      </c>
      <c r="N23" s="22">
        <f>M23/$E$7</f>
        <v>8.5</v>
      </c>
      <c r="O23" s="23">
        <f ca="1">M23/$M$29</f>
        <v>0.86971097258991448</v>
      </c>
    </row>
    <row r="24" spans="1:15" ht="14.25" customHeight="1" x14ac:dyDescent="0.3">
      <c r="B24" s="4"/>
      <c r="C24" s="24"/>
      <c r="D24" s="24"/>
      <c r="E24" s="25"/>
      <c r="F24" s="26"/>
      <c r="G24" s="27"/>
      <c r="J24" t="s">
        <v>49</v>
      </c>
      <c r="M24" s="13">
        <f>E10</f>
        <v>13</v>
      </c>
      <c r="N24" s="22">
        <f>M24/$E$7</f>
        <v>1.1278945678862389</v>
      </c>
      <c r="O24" s="23">
        <f ca="1">M24/$M$29</f>
        <v>0.11540497430767319</v>
      </c>
    </row>
    <row r="25" spans="1:15" ht="14.25" customHeight="1" x14ac:dyDescent="0.3">
      <c r="B25" s="16" t="s">
        <v>50</v>
      </c>
      <c r="C25" s="16"/>
      <c r="D25" s="16"/>
      <c r="E25" s="13">
        <f>SUM(E23:E24)</f>
        <v>57.6295</v>
      </c>
      <c r="F25" s="22">
        <f>SUM(F23:F24)</f>
        <v>5</v>
      </c>
      <c r="G25" s="23">
        <f ca="1">SUM(G23:G24)</f>
        <v>0.5115946897587732</v>
      </c>
      <c r="J25" t="s">
        <v>51</v>
      </c>
      <c r="M25" s="13">
        <f>J15*E25</f>
        <v>0.576295</v>
      </c>
      <c r="N25" s="22">
        <f>M25/$E$7</f>
        <v>0.05</v>
      </c>
      <c r="O25" s="23">
        <f ca="1">M25/$M$29</f>
        <v>5.1159468975877321E-3</v>
      </c>
    </row>
    <row r="26" spans="1:15" ht="14.25" customHeight="1" x14ac:dyDescent="0.3">
      <c r="J26" t="s">
        <v>52</v>
      </c>
      <c r="M26" s="13">
        <f ca="1">E12</f>
        <v>1.1003458163265309</v>
      </c>
      <c r="N26" s="22">
        <f ca="1">M26/$E$7</f>
        <v>9.5467236079311027E-2</v>
      </c>
      <c r="O26" s="23">
        <f ca="1">M26/$M$29</f>
        <v>9.7681062048245362E-3</v>
      </c>
    </row>
    <row r="27" spans="1:15" ht="14.25" customHeight="1" x14ac:dyDescent="0.3">
      <c r="B27" t="s">
        <v>53</v>
      </c>
      <c r="E27" s="13">
        <f ca="1">M29-E25</f>
        <v>55.017290816326543</v>
      </c>
      <c r="F27" s="22">
        <f ca="1">E27/$E$7</f>
        <v>4.7733618039655505</v>
      </c>
      <c r="G27" s="23">
        <f ca="1">E27/$E$29</f>
        <v>0.4884053102412268</v>
      </c>
    </row>
    <row r="28" spans="1:15" ht="14.25" customHeight="1" x14ac:dyDescent="0.3">
      <c r="E28" s="28"/>
      <c r="F28" s="29"/>
      <c r="G28" s="30"/>
      <c r="M28" s="28"/>
      <c r="N28" s="29"/>
      <c r="O28" s="30"/>
    </row>
    <row r="29" spans="1:15" ht="14.25" customHeight="1" x14ac:dyDescent="0.3">
      <c r="B29" s="31" t="s">
        <v>54</v>
      </c>
      <c r="C29" s="32"/>
      <c r="D29" s="32"/>
      <c r="E29" s="33">
        <f ca="1">SUM(E25:E27)</f>
        <v>112.64679081632654</v>
      </c>
      <c r="F29" s="34">
        <f ca="1">SUM(F25:F27)</f>
        <v>9.7733618039655497</v>
      </c>
      <c r="G29" s="35">
        <f ca="1">SUM(G25:G27)</f>
        <v>1</v>
      </c>
      <c r="J29" s="36" t="s">
        <v>55</v>
      </c>
      <c r="K29" s="36"/>
      <c r="L29" s="36"/>
      <c r="M29" s="37">
        <f ca="1">SUM(M23:M26)</f>
        <v>112.64679081632654</v>
      </c>
      <c r="N29" s="38">
        <f ca="1">SUM(N23:N26)</f>
        <v>9.7733618039655514</v>
      </c>
      <c r="O29" s="39">
        <f ca="1">SUM(O23:O26)</f>
        <v>0.99999999999999989</v>
      </c>
    </row>
    <row r="30" spans="1:15" ht="14.25" customHeight="1" x14ac:dyDescent="0.3">
      <c r="E30" s="28"/>
      <c r="F30" s="29"/>
      <c r="G30" s="30"/>
      <c r="L30" s="28"/>
      <c r="M30" s="29"/>
      <c r="N30" s="30"/>
    </row>
    <row r="32" spans="1:15" ht="14.25" customHeight="1" x14ac:dyDescent="0.3">
      <c r="A32" s="1" t="s">
        <v>0</v>
      </c>
      <c r="B32" s="5" t="s">
        <v>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2:23" ht="3" customHeight="1" x14ac:dyDescent="0.3"/>
    <row r="34" spans="2:23" ht="14.25" customHeight="1" x14ac:dyDescent="0.3">
      <c r="B34" s="11" t="s">
        <v>56</v>
      </c>
      <c r="C34" s="11"/>
      <c r="D34" s="11"/>
      <c r="E34" s="11"/>
      <c r="F34" s="11"/>
      <c r="G34" s="11"/>
      <c r="H34" s="11"/>
      <c r="I34" s="11"/>
      <c r="J34" s="12" t="s">
        <v>57</v>
      </c>
      <c r="K34" s="12" t="s">
        <v>58</v>
      </c>
      <c r="L34" s="12" t="s">
        <v>59</v>
      </c>
      <c r="M34" s="12" t="s">
        <v>60</v>
      </c>
      <c r="N34" s="12" t="s">
        <v>61</v>
      </c>
      <c r="O34" s="12" t="s">
        <v>62</v>
      </c>
      <c r="P34" s="20"/>
      <c r="Q34" s="20"/>
      <c r="R34" s="20"/>
      <c r="S34" s="20"/>
    </row>
    <row r="35" spans="2:23" ht="14.25" customHeight="1" x14ac:dyDescent="0.3">
      <c r="B35" t="s">
        <v>15</v>
      </c>
      <c r="J35" s="40">
        <f>J8</f>
        <v>68.38</v>
      </c>
      <c r="K35" s="13">
        <f>J35*(1+J36)</f>
        <v>74.876099999999994</v>
      </c>
      <c r="L35" s="13">
        <f>K35*(1+K36)</f>
        <v>81.614948999999996</v>
      </c>
      <c r="M35" s="13">
        <f>L35*(1+L36)</f>
        <v>88.960294410000003</v>
      </c>
      <c r="N35" s="13">
        <f>M35*(1+M36)</f>
        <v>97.856323851000013</v>
      </c>
      <c r="O35" s="13">
        <f>N35*(1+N36)</f>
        <v>108.62051947461002</v>
      </c>
    </row>
    <row r="36" spans="2:23" ht="14.25" customHeight="1" x14ac:dyDescent="0.3">
      <c r="B36" s="41" t="s">
        <v>63</v>
      </c>
      <c r="J36" s="157">
        <v>9.5000000000000001E-2</v>
      </c>
      <c r="K36" s="158">
        <v>0.09</v>
      </c>
      <c r="L36" s="158">
        <v>0.09</v>
      </c>
      <c r="M36" s="158">
        <v>0.1</v>
      </c>
      <c r="N36" s="158">
        <v>0.11</v>
      </c>
      <c r="O36" s="158">
        <v>0.1</v>
      </c>
      <c r="Q36" s="18">
        <v>0.01</v>
      </c>
      <c r="R36" t="s">
        <v>215</v>
      </c>
      <c r="T36" s="18">
        <v>0.01</v>
      </c>
      <c r="U36" t="s">
        <v>216</v>
      </c>
      <c r="W36" s="156"/>
    </row>
    <row r="37" spans="2:23" ht="14.25" customHeight="1" x14ac:dyDescent="0.3">
      <c r="J37" s="42"/>
    </row>
    <row r="38" spans="2:23" ht="14.25" customHeight="1" x14ac:dyDescent="0.3">
      <c r="B38" s="43" t="s">
        <v>20</v>
      </c>
      <c r="J38" s="40">
        <f>J9</f>
        <v>11.5259</v>
      </c>
      <c r="K38" s="13">
        <f>K35*K39</f>
        <v>11.456043299999999</v>
      </c>
      <c r="L38" s="13">
        <f>L35*L39</f>
        <v>13.87454133</v>
      </c>
      <c r="M38" s="13">
        <f>M35*M39</f>
        <v>15.56805152175</v>
      </c>
      <c r="N38" s="13">
        <f>N35*N39</f>
        <v>17.614138293180002</v>
      </c>
      <c r="O38" s="13">
        <f>O35*O39</f>
        <v>18.791349869107531</v>
      </c>
    </row>
    <row r="39" spans="2:23" ht="14.25" customHeight="1" x14ac:dyDescent="0.3">
      <c r="B39" s="41" t="s">
        <v>64</v>
      </c>
      <c r="J39" s="44">
        <f>J9/J8</f>
        <v>0.16855659549575899</v>
      </c>
      <c r="K39" s="159">
        <v>0.153</v>
      </c>
      <c r="L39" s="159">
        <v>0.17</v>
      </c>
      <c r="M39" s="159">
        <v>0.17499999999999999</v>
      </c>
      <c r="N39" s="159">
        <v>0.18</v>
      </c>
      <c r="O39" s="159">
        <v>0.17299999999999999</v>
      </c>
      <c r="Q39" s="45"/>
    </row>
    <row r="40" spans="2:23" ht="14.25" customHeight="1" x14ac:dyDescent="0.3">
      <c r="J40" s="42"/>
    </row>
    <row r="41" spans="2:23" ht="14.25" customHeight="1" x14ac:dyDescent="0.3">
      <c r="B41" t="s">
        <v>65</v>
      </c>
      <c r="J41" s="40">
        <f t="shared" ref="J41:O41" si="0">J38-J56</f>
        <v>8.6759000000000004</v>
      </c>
      <c r="K41" s="13">
        <f t="shared" si="0"/>
        <v>8.3060432999999989</v>
      </c>
      <c r="L41" s="13">
        <f t="shared" si="0"/>
        <v>10.474541329999999</v>
      </c>
      <c r="M41" s="13">
        <f t="shared" si="0"/>
        <v>11.91805152175</v>
      </c>
      <c r="N41" s="13">
        <f t="shared" si="0"/>
        <v>13.734138293180003</v>
      </c>
      <c r="O41" s="13">
        <f t="shared" si="0"/>
        <v>14.756149869107531</v>
      </c>
    </row>
    <row r="42" spans="2:23" ht="14.25" customHeight="1" x14ac:dyDescent="0.3">
      <c r="B42" s="41" t="s">
        <v>64</v>
      </c>
      <c r="J42" s="44">
        <f t="shared" ref="J42:O42" si="1">J41/J35</f>
        <v>0.12687774202983329</v>
      </c>
      <c r="K42" s="23">
        <f t="shared" si="1"/>
        <v>0.11093050118796251</v>
      </c>
      <c r="L42" s="23">
        <f t="shared" si="1"/>
        <v>0.12834096520724408</v>
      </c>
      <c r="M42" s="23">
        <f t="shared" si="1"/>
        <v>0.1339704595268324</v>
      </c>
      <c r="N42" s="23">
        <f t="shared" si="1"/>
        <v>0.1403500331168393</v>
      </c>
      <c r="O42" s="23">
        <f t="shared" si="1"/>
        <v>0.13585048147884041</v>
      </c>
    </row>
    <row r="43" spans="2:23" ht="14.25" customHeight="1" x14ac:dyDescent="0.3">
      <c r="B43" s="41"/>
      <c r="J43" s="46"/>
      <c r="K43" s="47"/>
      <c r="L43" s="47"/>
      <c r="M43" s="47"/>
      <c r="N43" s="47"/>
      <c r="O43" s="47"/>
    </row>
    <row r="44" spans="2:23" ht="14.25" customHeight="1" x14ac:dyDescent="0.3">
      <c r="B44" t="s">
        <v>66</v>
      </c>
      <c r="J44" s="162">
        <v>0</v>
      </c>
      <c r="K44" s="48">
        <f>K92</f>
        <v>4.6910413000000002</v>
      </c>
      <c r="L44" s="48">
        <f>L92</f>
        <v>4.558997585318</v>
      </c>
      <c r="M44" s="48">
        <f>M92</f>
        <v>4.2681856380560976</v>
      </c>
      <c r="N44" s="48">
        <f>N92</f>
        <v>3.9350018458274429</v>
      </c>
      <c r="O44" s="48">
        <f>O92</f>
        <v>3.4935105180768411</v>
      </c>
    </row>
    <row r="45" spans="2:23" ht="14.25" customHeight="1" x14ac:dyDescent="0.3">
      <c r="J45" s="49"/>
      <c r="K45" s="43"/>
      <c r="L45" s="43"/>
      <c r="M45" s="43"/>
      <c r="N45" s="43"/>
      <c r="O45" s="43"/>
    </row>
    <row r="46" spans="2:23" ht="14.25" customHeight="1" x14ac:dyDescent="0.3">
      <c r="B46" t="s">
        <v>67</v>
      </c>
      <c r="J46" s="40">
        <f t="shared" ref="J46:O46" si="2">J41-J44</f>
        <v>8.6759000000000004</v>
      </c>
      <c r="K46" s="13">
        <f>K41-K44</f>
        <v>3.6150019999999987</v>
      </c>
      <c r="L46" s="13">
        <f t="shared" si="2"/>
        <v>5.9155437446819992</v>
      </c>
      <c r="M46" s="13">
        <f t="shared" si="2"/>
        <v>7.6498658836939022</v>
      </c>
      <c r="N46" s="13">
        <f t="shared" si="2"/>
        <v>9.7991364473525593</v>
      </c>
      <c r="O46" s="13">
        <f t="shared" si="2"/>
        <v>11.262639351030691</v>
      </c>
    </row>
    <row r="47" spans="2:23" ht="14.25" customHeight="1" x14ac:dyDescent="0.3">
      <c r="B47" s="41" t="s">
        <v>64</v>
      </c>
      <c r="J47" s="44">
        <f t="shared" ref="J47:O47" si="3">J46/J35</f>
        <v>0.12687774202983329</v>
      </c>
      <c r="K47" s="23">
        <f t="shared" si="3"/>
        <v>4.8279784871273997E-2</v>
      </c>
      <c r="L47" s="23">
        <f t="shared" si="3"/>
        <v>7.2481130199346197E-2</v>
      </c>
      <c r="M47" s="23">
        <f t="shared" si="3"/>
        <v>8.5991912846389851E-2</v>
      </c>
      <c r="N47" s="23">
        <f t="shared" si="3"/>
        <v>0.10013799887141805</v>
      </c>
      <c r="O47" s="23">
        <f t="shared" si="3"/>
        <v>0.10368795330299747</v>
      </c>
    </row>
    <row r="48" spans="2:23" ht="14.25" customHeight="1" x14ac:dyDescent="0.3">
      <c r="J48" s="50"/>
      <c r="K48" s="43"/>
      <c r="L48" s="43"/>
      <c r="M48" s="43"/>
      <c r="N48" s="43"/>
      <c r="O48" s="43"/>
    </row>
    <row r="49" spans="1:19" ht="14.25" customHeight="1" x14ac:dyDescent="0.3">
      <c r="B49" t="s">
        <v>68</v>
      </c>
      <c r="J49" s="49">
        <f>$J$16 * J46</f>
        <v>1.821939</v>
      </c>
      <c r="K49" s="13">
        <f>MAX(0,K46*K50)</f>
        <v>0.75915041999999966</v>
      </c>
      <c r="L49" s="13">
        <f>MAX(0,L46*L50)</f>
        <v>1.2422641863832198</v>
      </c>
      <c r="M49" s="13">
        <f>MAX(0,M46*M50)</f>
        <v>1.6064718355757195</v>
      </c>
      <c r="N49" s="13">
        <f>MAX(0,N46*N50)</f>
        <v>2.0578186539440373</v>
      </c>
      <c r="O49" s="13">
        <f>MAX(0,O46*O50)</f>
        <v>2.3651542637164451</v>
      </c>
    </row>
    <row r="50" spans="1:19" ht="14.25" customHeight="1" x14ac:dyDescent="0.3">
      <c r="B50" s="41" t="s">
        <v>69</v>
      </c>
      <c r="J50" s="44">
        <f t="shared" ref="J50:O50" si="4">$J$16</f>
        <v>0.21</v>
      </c>
      <c r="K50" s="23">
        <f t="shared" si="4"/>
        <v>0.21</v>
      </c>
      <c r="L50" s="23">
        <f t="shared" si="4"/>
        <v>0.21</v>
      </c>
      <c r="M50" s="23">
        <f t="shared" si="4"/>
        <v>0.21</v>
      </c>
      <c r="N50" s="23">
        <f t="shared" si="4"/>
        <v>0.21</v>
      </c>
      <c r="O50" s="23">
        <f t="shared" si="4"/>
        <v>0.21</v>
      </c>
    </row>
    <row r="51" spans="1:19" ht="14.25" customHeight="1" x14ac:dyDescent="0.3">
      <c r="B51" s="41"/>
      <c r="J51" s="51"/>
      <c r="K51" s="52"/>
      <c r="L51" s="52"/>
      <c r="M51" s="52"/>
      <c r="N51" s="52"/>
      <c r="O51" s="52"/>
    </row>
    <row r="52" spans="1:19" ht="14.25" customHeight="1" x14ac:dyDescent="0.3">
      <c r="B52" t="s">
        <v>70</v>
      </c>
      <c r="J52" s="40">
        <f t="shared" ref="J52:O52" si="5">J46-J49</f>
        <v>6.853961</v>
      </c>
      <c r="K52" s="13">
        <f t="shared" si="5"/>
        <v>2.8558515799999991</v>
      </c>
      <c r="L52" s="13">
        <f t="shared" si="5"/>
        <v>4.6732795582987796</v>
      </c>
      <c r="M52" s="13">
        <f t="shared" si="5"/>
        <v>6.0433940481181825</v>
      </c>
      <c r="N52" s="13">
        <f t="shared" si="5"/>
        <v>7.7413177934085216</v>
      </c>
      <c r="O52" s="13">
        <f t="shared" si="5"/>
        <v>8.8974850873142461</v>
      </c>
    </row>
    <row r="53" spans="1:19" ht="14.25" customHeight="1" x14ac:dyDescent="0.3">
      <c r="B53" s="41" t="s">
        <v>64</v>
      </c>
      <c r="J53" s="44">
        <f t="shared" ref="J53:O53" si="6">J52/J35</f>
        <v>0.10023341620356831</v>
      </c>
      <c r="K53" s="23">
        <f t="shared" si="6"/>
        <v>3.8141030048306462E-2</v>
      </c>
      <c r="L53" s="23">
        <f t="shared" si="6"/>
        <v>5.7260092857483499E-2</v>
      </c>
      <c r="M53" s="23">
        <f t="shared" si="6"/>
        <v>6.7933611148647974E-2</v>
      </c>
      <c r="N53" s="23">
        <f t="shared" si="6"/>
        <v>7.9109019108420262E-2</v>
      </c>
      <c r="O53" s="23">
        <f t="shared" si="6"/>
        <v>8.191348310936801E-2</v>
      </c>
    </row>
    <row r="54" spans="1:19" ht="14.25" customHeight="1" x14ac:dyDescent="0.3">
      <c r="B54" s="41"/>
      <c r="J54" s="42"/>
    </row>
    <row r="55" spans="1:19" ht="14.25" customHeight="1" x14ac:dyDescent="0.3">
      <c r="A55" s="1" t="s">
        <v>0</v>
      </c>
      <c r="B55" s="11" t="s">
        <v>71</v>
      </c>
      <c r="C55" s="11"/>
      <c r="D55" s="11"/>
      <c r="E55" s="11"/>
      <c r="F55" s="11"/>
      <c r="G55" s="11"/>
      <c r="H55" s="11"/>
      <c r="I55" s="11"/>
      <c r="J55" s="12" t="s">
        <v>72</v>
      </c>
      <c r="K55" s="12" t="s">
        <v>21</v>
      </c>
      <c r="L55" s="12" t="s">
        <v>26</v>
      </c>
      <c r="M55" s="12" t="s">
        <v>31</v>
      </c>
      <c r="N55" s="12" t="s">
        <v>35</v>
      </c>
      <c r="O55" s="12" t="s">
        <v>37</v>
      </c>
      <c r="P55" s="20"/>
      <c r="Q55" s="20"/>
      <c r="R55" s="20"/>
      <c r="S55" s="20"/>
    </row>
    <row r="56" spans="1:19" ht="14.25" customHeight="1" x14ac:dyDescent="0.3">
      <c r="B56" t="s">
        <v>24</v>
      </c>
      <c r="J56" s="160">
        <v>2.85</v>
      </c>
      <c r="K56" s="161">
        <v>3.15</v>
      </c>
      <c r="L56" s="161">
        <v>3.4</v>
      </c>
      <c r="M56" s="161">
        <v>3.65</v>
      </c>
      <c r="N56" s="161">
        <v>3.88</v>
      </c>
      <c r="O56" s="161">
        <v>4.0351999999999997</v>
      </c>
    </row>
    <row r="57" spans="1:19" ht="14.25" customHeight="1" x14ac:dyDescent="0.3">
      <c r="B57" s="41" t="s">
        <v>64</v>
      </c>
      <c r="J57" s="44">
        <f t="shared" ref="J57:O57" si="7">J56/J35</f>
        <v>4.1678853465925716E-2</v>
      </c>
      <c r="K57" s="44">
        <f t="shared" si="7"/>
        <v>4.206949881203749E-2</v>
      </c>
      <c r="L57" s="44">
        <f t="shared" si="7"/>
        <v>4.1659034792755921E-2</v>
      </c>
      <c r="M57" s="44">
        <f t="shared" si="7"/>
        <v>4.1029540473167592E-2</v>
      </c>
      <c r="N57" s="44">
        <f t="shared" si="7"/>
        <v>3.9649966883160706E-2</v>
      </c>
      <c r="O57" s="44">
        <f t="shared" si="7"/>
        <v>3.714951852115958E-2</v>
      </c>
    </row>
    <row r="58" spans="1:19" ht="14.25" customHeight="1" x14ac:dyDescent="0.3">
      <c r="B58" s="41"/>
      <c r="J58" s="42"/>
    </row>
    <row r="59" spans="1:19" ht="14.25" customHeight="1" x14ac:dyDescent="0.3">
      <c r="B59" t="s">
        <v>73</v>
      </c>
      <c r="J59" s="40">
        <f t="shared" ref="J59:O59" si="8">J35*J60</f>
        <v>1.7095</v>
      </c>
      <c r="K59" s="13">
        <f t="shared" si="8"/>
        <v>1.9467785999999998</v>
      </c>
      <c r="L59" s="13">
        <f t="shared" si="8"/>
        <v>2.1219886739999998</v>
      </c>
      <c r="M59" s="13">
        <f t="shared" si="8"/>
        <v>2.31296765466</v>
      </c>
      <c r="N59" s="13">
        <f t="shared" si="8"/>
        <v>2.5442644201260003</v>
      </c>
      <c r="O59" s="13">
        <f t="shared" si="8"/>
        <v>2.8241335063398605</v>
      </c>
    </row>
    <row r="60" spans="1:19" ht="14.25" customHeight="1" x14ac:dyDescent="0.3">
      <c r="B60" s="41" t="s">
        <v>64</v>
      </c>
      <c r="J60" s="157">
        <f>J12/J8</f>
        <v>2.5000000000000001E-2</v>
      </c>
      <c r="K60" s="158">
        <v>2.5999999999999999E-2</v>
      </c>
      <c r="L60" s="158">
        <v>2.5999999999999999E-2</v>
      </c>
      <c r="M60" s="158">
        <v>2.5999999999999999E-2</v>
      </c>
      <c r="N60" s="158">
        <v>2.5999999999999999E-2</v>
      </c>
      <c r="O60" s="158">
        <v>2.5999999999999999E-2</v>
      </c>
    </row>
    <row r="61" spans="1:19" ht="14.25" customHeight="1" x14ac:dyDescent="0.3">
      <c r="B61" t="s">
        <v>74</v>
      </c>
      <c r="J61" s="53"/>
      <c r="K61" s="13">
        <f>K59-J59</f>
        <v>0.23727859999999978</v>
      </c>
      <c r="L61" s="13">
        <f>L59-K59</f>
        <v>0.17521007399999999</v>
      </c>
      <c r="M61" s="13">
        <f>M59-L59</f>
        <v>0.19097898066000019</v>
      </c>
      <c r="N61" s="13">
        <f>N59-M59</f>
        <v>0.23129676546600031</v>
      </c>
      <c r="O61" s="13">
        <f>O59-N59</f>
        <v>0.2798690862138602</v>
      </c>
    </row>
    <row r="62" spans="1:19" ht="14.25" customHeight="1" x14ac:dyDescent="0.3">
      <c r="B62" s="41"/>
      <c r="J62" s="42"/>
      <c r="K62" s="43"/>
      <c r="L62" s="43"/>
      <c r="M62" s="43"/>
      <c r="N62" s="43"/>
      <c r="O62" s="43"/>
    </row>
    <row r="63" spans="1:19" ht="14.25" customHeight="1" x14ac:dyDescent="0.3">
      <c r="B63" t="s">
        <v>75</v>
      </c>
      <c r="J63" s="40">
        <f t="shared" ref="J63:O63" si="9">J35*J64</f>
        <v>5.1284999999999998</v>
      </c>
      <c r="K63" s="13">
        <f t="shared" si="9"/>
        <v>4.4925659999999992</v>
      </c>
      <c r="L63" s="13">
        <f t="shared" si="9"/>
        <v>4.8968969399999995</v>
      </c>
      <c r="M63" s="13">
        <f t="shared" si="9"/>
        <v>5.3376176645999998</v>
      </c>
      <c r="N63" s="13">
        <f t="shared" si="9"/>
        <v>5.8713794310600003</v>
      </c>
      <c r="O63" s="13">
        <f t="shared" si="9"/>
        <v>6.5172311684766013</v>
      </c>
    </row>
    <row r="64" spans="1:19" ht="14.25" customHeight="1" x14ac:dyDescent="0.3">
      <c r="B64" s="41" t="s">
        <v>64</v>
      </c>
      <c r="J64" s="157">
        <v>7.4999999999999997E-2</v>
      </c>
      <c r="K64" s="158">
        <v>0.06</v>
      </c>
      <c r="L64" s="158">
        <v>0.06</v>
      </c>
      <c r="M64" s="158">
        <v>0.06</v>
      </c>
      <c r="N64" s="158">
        <v>0.06</v>
      </c>
      <c r="O64" s="158">
        <v>0.06</v>
      </c>
    </row>
    <row r="65" spans="1:19" ht="14.25" customHeight="1" x14ac:dyDescent="0.3">
      <c r="C65" s="41"/>
      <c r="J65" s="42"/>
    </row>
    <row r="66" spans="1:19" ht="14.25" customHeight="1" x14ac:dyDescent="0.3">
      <c r="A66" s="1" t="s">
        <v>0</v>
      </c>
      <c r="B66" s="11" t="s">
        <v>76</v>
      </c>
      <c r="C66" s="11"/>
      <c r="D66" s="11"/>
      <c r="E66" s="11"/>
      <c r="F66" s="11"/>
      <c r="G66" s="11"/>
      <c r="H66" s="11"/>
      <c r="I66" s="11"/>
      <c r="J66" s="12" t="s">
        <v>72</v>
      </c>
      <c r="K66" s="12" t="s">
        <v>21</v>
      </c>
      <c r="L66" s="12" t="s">
        <v>26</v>
      </c>
      <c r="M66" s="12" t="s">
        <v>31</v>
      </c>
      <c r="N66" s="12" t="s">
        <v>35</v>
      </c>
      <c r="O66" s="12" t="s">
        <v>37</v>
      </c>
      <c r="P66" s="20"/>
      <c r="Q66" s="20"/>
      <c r="R66" s="20"/>
      <c r="S66" s="20"/>
    </row>
    <row r="67" spans="1:19" ht="14.25" customHeight="1" x14ac:dyDescent="0.3">
      <c r="B67" t="s">
        <v>70</v>
      </c>
      <c r="J67" s="40">
        <f t="shared" ref="J67:O67" si="10">J52</f>
        <v>6.853961</v>
      </c>
      <c r="K67" s="13">
        <f t="shared" si="10"/>
        <v>2.8558515799999991</v>
      </c>
      <c r="L67" s="13">
        <f t="shared" si="10"/>
        <v>4.6732795582987796</v>
      </c>
      <c r="M67" s="13">
        <f t="shared" si="10"/>
        <v>6.0433940481181825</v>
      </c>
      <c r="N67" s="13">
        <f t="shared" si="10"/>
        <v>7.7413177934085216</v>
      </c>
      <c r="O67" s="13">
        <f t="shared" si="10"/>
        <v>8.8974850873142461</v>
      </c>
    </row>
    <row r="68" spans="1:19" ht="14.25" customHeight="1" x14ac:dyDescent="0.3">
      <c r="B68" t="s">
        <v>24</v>
      </c>
      <c r="J68" s="40">
        <f t="shared" ref="J68:O68" si="11">J56</f>
        <v>2.85</v>
      </c>
      <c r="K68" s="13">
        <f t="shared" si="11"/>
        <v>3.15</v>
      </c>
      <c r="L68" s="13">
        <f t="shared" si="11"/>
        <v>3.4</v>
      </c>
      <c r="M68" s="13">
        <f t="shared" si="11"/>
        <v>3.65</v>
      </c>
      <c r="N68" s="13">
        <f t="shared" si="11"/>
        <v>3.88</v>
      </c>
      <c r="O68" s="13">
        <f t="shared" si="11"/>
        <v>4.0351999999999997</v>
      </c>
    </row>
    <row r="69" spans="1:19" ht="14.25" customHeight="1" x14ac:dyDescent="0.3">
      <c r="B69" t="s">
        <v>75</v>
      </c>
      <c r="J69" s="40">
        <f t="shared" ref="J69:O69" si="12">-J63</f>
        <v>-5.1284999999999998</v>
      </c>
      <c r="K69" s="13">
        <f t="shared" si="12"/>
        <v>-4.4925659999999992</v>
      </c>
      <c r="L69" s="13">
        <f t="shared" si="12"/>
        <v>-4.8968969399999995</v>
      </c>
      <c r="M69" s="13">
        <f t="shared" si="12"/>
        <v>-5.3376176645999998</v>
      </c>
      <c r="N69" s="13">
        <f t="shared" si="12"/>
        <v>-5.8713794310600003</v>
      </c>
      <c r="O69" s="13">
        <f t="shared" si="12"/>
        <v>-6.5172311684766013</v>
      </c>
    </row>
    <row r="70" spans="1:19" ht="14.25" customHeight="1" x14ac:dyDescent="0.3">
      <c r="B70" s="4" t="s">
        <v>77</v>
      </c>
      <c r="C70" s="4"/>
      <c r="D70" s="4"/>
      <c r="E70" s="4"/>
      <c r="F70" s="4"/>
      <c r="G70" s="4"/>
      <c r="H70" s="4"/>
      <c r="I70" s="4"/>
      <c r="J70" s="54">
        <v>0</v>
      </c>
      <c r="K70" s="25">
        <f>-K61</f>
        <v>-0.23727859999999978</v>
      </c>
      <c r="L70" s="25">
        <f>-L61</f>
        <v>-0.17521007399999999</v>
      </c>
      <c r="M70" s="25">
        <f>-M61</f>
        <v>-0.19097898066000019</v>
      </c>
      <c r="N70" s="25">
        <f>-N61</f>
        <v>-0.23129676546600031</v>
      </c>
      <c r="O70" s="25">
        <f>-O61</f>
        <v>-0.2798690862138602</v>
      </c>
    </row>
    <row r="71" spans="1:19" ht="14.25" customHeight="1" x14ac:dyDescent="0.3">
      <c r="B71" s="31" t="s">
        <v>76</v>
      </c>
      <c r="C71" s="32"/>
      <c r="D71" s="32"/>
      <c r="E71" s="32"/>
      <c r="F71" s="32"/>
      <c r="G71" s="32"/>
      <c r="H71" s="32"/>
      <c r="I71" s="32"/>
      <c r="J71" s="55">
        <f>J67+J68+J69</f>
        <v>4.5754609999999998</v>
      </c>
      <c r="K71" s="33">
        <f>K67+K68+K69+K70</f>
        <v>1.27600698</v>
      </c>
      <c r="L71" s="33">
        <f>L67+L68+L69+L70</f>
        <v>3.0011725442987798</v>
      </c>
      <c r="M71" s="33">
        <f>M67+M68+M69+M70</f>
        <v>4.1647974028581825</v>
      </c>
      <c r="N71" s="33">
        <f>N67+N68+N69+N70</f>
        <v>5.5186415968825218</v>
      </c>
      <c r="O71" s="56">
        <f>O67+O68+O69+O70</f>
        <v>6.1355848326237847</v>
      </c>
    </row>
    <row r="74" spans="1:19" ht="14.25" customHeight="1" x14ac:dyDescent="0.3">
      <c r="B74" s="11" t="s">
        <v>78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9" ht="14.25" customHeight="1" x14ac:dyDescent="0.3">
      <c r="B75" t="s">
        <v>79</v>
      </c>
      <c r="J75" s="57">
        <f t="shared" ref="J75:O75" si="13">J84/J38</f>
        <v>5</v>
      </c>
      <c r="K75" s="57">
        <f t="shared" si="13"/>
        <v>5.0304890170937115</v>
      </c>
      <c r="L75" s="57">
        <f t="shared" si="13"/>
        <v>4.0616472775320211</v>
      </c>
      <c r="M75" s="57">
        <f t="shared" si="13"/>
        <v>3.4270390486030395</v>
      </c>
      <c r="N75" s="57">
        <f t="shared" si="13"/>
        <v>2.7925023781542522</v>
      </c>
      <c r="O75" s="57">
        <f t="shared" si="13"/>
        <v>2.32388209363027</v>
      </c>
    </row>
    <row r="76" spans="1:19" ht="14.25" customHeight="1" x14ac:dyDescent="0.3">
      <c r="B76" t="s">
        <v>80</v>
      </c>
      <c r="K76" s="57">
        <f>IF((K38-K63-K49)/(K44)&lt;1.2,"Cov Breach",(K38-K63-K49)/(K44))</f>
        <v>1.3225905472202941</v>
      </c>
      <c r="L76" s="57">
        <f>IF((L38-L63-L49)/(L44)&lt;1.2,"Cov Breach",(L38-L63-L49)/(L44))</f>
        <v>1.6967282958271672</v>
      </c>
      <c r="M76" s="57">
        <f>IF((M38-M63-M49)/(M44)&lt;1.2,"Cov Breach",(M38-M63-M49)/(M44))</f>
        <v>2.0205217750327229</v>
      </c>
      <c r="N76" s="57">
        <f>IF((N38-N63-N49)/(N44)&lt;1.2,"Cov Breach",(N38-N63-N49)/(N44))</f>
        <v>2.4612288856854243</v>
      </c>
      <c r="O76" s="57">
        <f>IF((O38-O63-O49)/(O44)&lt;1.2,"Cov Breach",(O38-O63-O49)/(O44))</f>
        <v>2.8363917571283901</v>
      </c>
      <c r="Q76" t="s">
        <v>81</v>
      </c>
    </row>
    <row r="77" spans="1:19" ht="14.25" customHeight="1" x14ac:dyDescent="0.3">
      <c r="B77" t="s">
        <v>82</v>
      </c>
      <c r="K77" s="57">
        <f>K38/(K93+K44)</f>
        <v>1.9198844658920706</v>
      </c>
      <c r="L77" s="57">
        <f>L38/(L93+L44)</f>
        <v>1.8352154901444382</v>
      </c>
      <c r="M77" s="57">
        <f>M38/(M93+M44)</f>
        <v>1.846090694860707</v>
      </c>
      <c r="N77" s="57">
        <f>N38/(N93+N44)</f>
        <v>1.8632116178194642</v>
      </c>
      <c r="O77" s="57">
        <f>O38/(O93+O44)</f>
        <v>1.9515176851728078</v>
      </c>
      <c r="Q77" t="s">
        <v>83</v>
      </c>
    </row>
    <row r="80" spans="1:19" ht="14.25" customHeight="1" x14ac:dyDescent="0.3">
      <c r="A80" s="1" t="s">
        <v>0</v>
      </c>
      <c r="B80" s="5" t="s">
        <v>84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9" ht="3" customHeight="1" x14ac:dyDescent="0.3"/>
    <row r="82" spans="1:19" ht="14.25" customHeight="1" x14ac:dyDescent="0.3">
      <c r="B82" s="11"/>
      <c r="C82" s="11"/>
      <c r="D82" s="11"/>
      <c r="E82" s="11"/>
      <c r="F82" s="11"/>
      <c r="G82" s="11"/>
      <c r="H82" s="11"/>
      <c r="I82" s="11"/>
      <c r="J82" s="12" t="s">
        <v>72</v>
      </c>
      <c r="K82" s="12" t="s">
        <v>21</v>
      </c>
      <c r="L82" s="12" t="s">
        <v>26</v>
      </c>
      <c r="M82" s="12" t="s">
        <v>31</v>
      </c>
      <c r="N82" s="12" t="s">
        <v>35</v>
      </c>
      <c r="O82" s="12" t="s">
        <v>37</v>
      </c>
      <c r="P82" s="20"/>
      <c r="Q82" s="20"/>
      <c r="R82" s="20"/>
      <c r="S82" s="20"/>
    </row>
    <row r="83" spans="1:19" ht="14.25" customHeight="1" x14ac:dyDescent="0.3">
      <c r="B83" s="16" t="s">
        <v>12</v>
      </c>
      <c r="C83" s="16"/>
      <c r="J83" s="42"/>
    </row>
    <row r="84" spans="1:19" ht="14.25" customHeight="1" x14ac:dyDescent="0.3">
      <c r="B84" t="s">
        <v>85</v>
      </c>
      <c r="D84" s="43"/>
      <c r="E84" s="43"/>
      <c r="F84" s="43"/>
      <c r="G84" s="43"/>
      <c r="H84" s="43"/>
      <c r="J84" s="40">
        <f>E23</f>
        <v>57.6295</v>
      </c>
      <c r="K84" s="13">
        <f>J87</f>
        <v>57.6295</v>
      </c>
      <c r="L84" s="13">
        <f>K87</f>
        <v>56.353493020000002</v>
      </c>
      <c r="M84" s="13">
        <f>L87</f>
        <v>53.352320475701219</v>
      </c>
      <c r="N84" s="13">
        <f>M87</f>
        <v>49.187523072843035</v>
      </c>
      <c r="O84" s="13">
        <f>N87</f>
        <v>43.668881475960511</v>
      </c>
    </row>
    <row r="85" spans="1:19" ht="14.25" customHeight="1" x14ac:dyDescent="0.3">
      <c r="B85" t="s">
        <v>86</v>
      </c>
      <c r="D85" s="43"/>
      <c r="E85" s="43"/>
      <c r="F85" s="43"/>
      <c r="G85" s="43"/>
      <c r="H85" s="43"/>
      <c r="J85" s="42">
        <v>0</v>
      </c>
      <c r="K85" s="13">
        <f>K84*O7</f>
        <v>4.6910413000000002</v>
      </c>
      <c r="L85" s="13">
        <f>L84*P7</f>
        <v>4.558997585318</v>
      </c>
      <c r="M85" s="13">
        <f>M84*Q7</f>
        <v>4.2681856380560976</v>
      </c>
      <c r="N85" s="13">
        <f>N84*R7</f>
        <v>3.9350018458274429</v>
      </c>
      <c r="O85" s="13">
        <f>O84*S7</f>
        <v>3.4935105180768411</v>
      </c>
    </row>
    <row r="86" spans="1:19" ht="14.25" customHeight="1" x14ac:dyDescent="0.3">
      <c r="B86" s="4" t="s">
        <v>87</v>
      </c>
      <c r="C86" s="4"/>
      <c r="D86" s="58"/>
      <c r="E86" s="58"/>
      <c r="F86" s="58"/>
      <c r="G86" s="58"/>
      <c r="H86" s="58"/>
      <c r="I86" s="4"/>
      <c r="J86" s="54">
        <v>0</v>
      </c>
      <c r="K86" s="25">
        <f>MIN(K84,MAX(0,K71))</f>
        <v>1.27600698</v>
      </c>
      <c r="L86" s="25">
        <f>MIN(L84,MAX(0,L71))</f>
        <v>3.0011725442987798</v>
      </c>
      <c r="M86" s="25">
        <f>MIN(M84,MAX(0,M71))</f>
        <v>4.1647974028581825</v>
      </c>
      <c r="N86" s="25">
        <f>MIN(N84,MAX(0,N71))</f>
        <v>5.5186415968825218</v>
      </c>
      <c r="O86" s="25">
        <f>MIN(O84,MAX(0,O71))</f>
        <v>6.1355848326237847</v>
      </c>
    </row>
    <row r="87" spans="1:19" ht="14.25" customHeight="1" x14ac:dyDescent="0.3">
      <c r="B87" s="16" t="s">
        <v>88</v>
      </c>
      <c r="C87" s="16"/>
      <c r="D87" s="59"/>
      <c r="E87" s="59"/>
      <c r="F87" s="59"/>
      <c r="G87" s="59"/>
      <c r="H87" s="59"/>
      <c r="I87" s="16"/>
      <c r="J87" s="40">
        <f>J84</f>
        <v>57.6295</v>
      </c>
      <c r="K87" s="13">
        <f>K84-K86</f>
        <v>56.353493020000002</v>
      </c>
      <c r="L87" s="13">
        <f>L84-L86</f>
        <v>53.352320475701219</v>
      </c>
      <c r="M87" s="13">
        <f>M84-M86</f>
        <v>49.187523072843035</v>
      </c>
      <c r="N87" s="13">
        <f>N84-N86</f>
        <v>43.668881475960511</v>
      </c>
      <c r="O87" s="13">
        <f>O84-O86</f>
        <v>37.533296643336726</v>
      </c>
    </row>
    <row r="88" spans="1:19" ht="14.25" customHeight="1" x14ac:dyDescent="0.3">
      <c r="J88" s="42"/>
    </row>
    <row r="89" spans="1:19" ht="14.25" customHeight="1" x14ac:dyDescent="0.3">
      <c r="J89" s="42"/>
    </row>
    <row r="90" spans="1:19" ht="14.25" customHeight="1" x14ac:dyDescent="0.3">
      <c r="B90" s="16" t="s">
        <v>50</v>
      </c>
      <c r="J90" s="42"/>
    </row>
    <row r="91" spans="1:19" ht="14.25" customHeight="1" x14ac:dyDescent="0.3">
      <c r="B91" t="s">
        <v>85</v>
      </c>
      <c r="D91" s="43"/>
      <c r="E91" s="43"/>
      <c r="F91" s="43"/>
      <c r="G91" s="43"/>
      <c r="H91" s="43"/>
      <c r="J91" s="40">
        <f>J84</f>
        <v>57.6295</v>
      </c>
      <c r="K91" s="13">
        <f>J94</f>
        <v>57.6295</v>
      </c>
      <c r="L91" s="13">
        <f>K94</f>
        <v>56.353493020000002</v>
      </c>
      <c r="M91" s="13">
        <f>L94</f>
        <v>53.352320475701219</v>
      </c>
      <c r="N91" s="13">
        <f>M94</f>
        <v>49.187523072843035</v>
      </c>
      <c r="O91" s="13">
        <f>N94</f>
        <v>43.668881475960511</v>
      </c>
    </row>
    <row r="92" spans="1:19" ht="14.25" customHeight="1" x14ac:dyDescent="0.3">
      <c r="B92" t="s">
        <v>86</v>
      </c>
      <c r="D92" s="43"/>
      <c r="E92" s="43"/>
      <c r="F92" s="43"/>
      <c r="G92" s="43"/>
      <c r="H92" s="43"/>
      <c r="J92" s="60">
        <v>0</v>
      </c>
      <c r="K92" s="13">
        <f t="shared" ref="K92:O94" si="14">K85</f>
        <v>4.6910413000000002</v>
      </c>
      <c r="L92" s="13">
        <f t="shared" si="14"/>
        <v>4.558997585318</v>
      </c>
      <c r="M92" s="13">
        <f t="shared" si="14"/>
        <v>4.2681856380560976</v>
      </c>
      <c r="N92" s="13">
        <f t="shared" si="14"/>
        <v>3.9350018458274429</v>
      </c>
      <c r="O92" s="13">
        <f t="shared" si="14"/>
        <v>3.4935105180768411</v>
      </c>
      <c r="S92" s="13"/>
    </row>
    <row r="93" spans="1:19" ht="14.25" customHeight="1" x14ac:dyDescent="0.3">
      <c r="B93" t="s">
        <v>87</v>
      </c>
      <c r="D93" s="43"/>
      <c r="E93" s="43"/>
      <c r="F93" s="43"/>
      <c r="G93" s="43"/>
      <c r="H93" s="43"/>
      <c r="J93" s="61">
        <v>0</v>
      </c>
      <c r="K93" s="25">
        <f t="shared" si="14"/>
        <v>1.27600698</v>
      </c>
      <c r="L93" s="25">
        <f t="shared" si="14"/>
        <v>3.0011725442987798</v>
      </c>
      <c r="M93" s="25">
        <f t="shared" si="14"/>
        <v>4.1647974028581825</v>
      </c>
      <c r="N93" s="25">
        <f t="shared" si="14"/>
        <v>5.5186415968825218</v>
      </c>
      <c r="O93" s="25">
        <f t="shared" si="14"/>
        <v>6.1355848326237847</v>
      </c>
      <c r="S93" s="13"/>
    </row>
    <row r="94" spans="1:19" ht="14.25" customHeight="1" x14ac:dyDescent="0.3">
      <c r="B94" t="s">
        <v>88</v>
      </c>
      <c r="D94" s="43"/>
      <c r="E94" s="43"/>
      <c r="F94" s="43"/>
      <c r="G94" s="43"/>
      <c r="H94" s="43"/>
      <c r="J94" s="40">
        <f>J87</f>
        <v>57.6295</v>
      </c>
      <c r="K94" s="13">
        <f t="shared" si="14"/>
        <v>56.353493020000002</v>
      </c>
      <c r="L94" s="13">
        <f t="shared" si="14"/>
        <v>53.352320475701219</v>
      </c>
      <c r="M94" s="13">
        <f t="shared" si="14"/>
        <v>49.187523072843035</v>
      </c>
      <c r="N94" s="13">
        <f t="shared" si="14"/>
        <v>43.668881475960511</v>
      </c>
      <c r="O94" s="13">
        <f t="shared" si="14"/>
        <v>37.533296643336726</v>
      </c>
      <c r="S94" s="13"/>
    </row>
    <row r="95" spans="1:19" ht="14.25" customHeight="1" x14ac:dyDescent="0.3">
      <c r="A95" s="1" t="s">
        <v>0</v>
      </c>
      <c r="S95" s="13"/>
    </row>
    <row r="96" spans="1:19" ht="3" customHeight="1" x14ac:dyDescent="0.3">
      <c r="B96" s="5" t="s">
        <v>30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14.25" customHeight="1" x14ac:dyDescent="0.3">
      <c r="D97" s="43"/>
      <c r="E97" s="43"/>
      <c r="F97" s="43"/>
      <c r="G97" s="43"/>
      <c r="H97" s="43"/>
      <c r="O97" s="62"/>
    </row>
    <row r="98" spans="1:15" ht="14.25" customHeight="1" x14ac:dyDescent="0.3">
      <c r="B98" t="s">
        <v>89</v>
      </c>
      <c r="J98" s="13">
        <f>O38</f>
        <v>18.791349869107531</v>
      </c>
      <c r="O98" s="43"/>
    </row>
    <row r="99" spans="1:15" ht="14.25" customHeight="1" x14ac:dyDescent="0.3">
      <c r="B99" s="4" t="s">
        <v>90</v>
      </c>
      <c r="C99" s="4"/>
      <c r="D99" s="4"/>
      <c r="E99" s="4"/>
      <c r="F99" s="4"/>
      <c r="G99" s="4"/>
      <c r="H99" s="4"/>
      <c r="I99" s="4"/>
      <c r="J99" s="26">
        <f>E16</f>
        <v>8.5</v>
      </c>
      <c r="K99" s="4"/>
      <c r="L99" s="4"/>
      <c r="M99" s="4"/>
      <c r="N99" s="4"/>
      <c r="O99" s="63"/>
    </row>
    <row r="100" spans="1:15" ht="14.25" customHeight="1" x14ac:dyDescent="0.3">
      <c r="B100" t="s">
        <v>19</v>
      </c>
      <c r="J100" s="13">
        <f>J98*J99</f>
        <v>159.72647388741402</v>
      </c>
      <c r="O100" s="43"/>
    </row>
    <row r="101" spans="1:15" ht="14.25" customHeight="1" x14ac:dyDescent="0.3">
      <c r="B101" s="4" t="s">
        <v>91</v>
      </c>
      <c r="C101" s="4"/>
      <c r="D101" s="4"/>
      <c r="E101" s="4"/>
      <c r="F101" s="4"/>
      <c r="G101" s="4"/>
      <c r="H101" s="4"/>
      <c r="I101" s="4"/>
      <c r="J101" s="25">
        <f>O94</f>
        <v>37.533296643336726</v>
      </c>
      <c r="K101" s="4"/>
      <c r="L101" s="4"/>
      <c r="M101" s="4"/>
      <c r="N101" s="4"/>
      <c r="O101" s="64"/>
    </row>
    <row r="102" spans="1:15" ht="14.25" customHeight="1" x14ac:dyDescent="0.3">
      <c r="B102" s="31" t="s">
        <v>92</v>
      </c>
      <c r="C102" s="32"/>
      <c r="D102" s="32"/>
      <c r="E102" s="32"/>
      <c r="F102" s="32"/>
      <c r="G102" s="32"/>
      <c r="H102" s="32"/>
      <c r="I102" s="32"/>
      <c r="J102" s="33">
        <f>J100-J101</f>
        <v>122.19317724407729</v>
      </c>
      <c r="K102" s="32"/>
      <c r="L102" s="32"/>
      <c r="M102" s="32"/>
      <c r="N102" s="32"/>
      <c r="O102" s="65"/>
    </row>
    <row r="104" spans="1:15" ht="14.25" customHeight="1" x14ac:dyDescent="0.3">
      <c r="J104" s="13">
        <f ca="1">E27</f>
        <v>55.017290816326543</v>
      </c>
      <c r="O104" s="43"/>
    </row>
    <row r="105" spans="1:15" ht="14.25" customHeight="1" x14ac:dyDescent="0.3">
      <c r="J105" s="13"/>
      <c r="O105" s="43"/>
    </row>
    <row r="106" spans="1:15" ht="14.25" customHeight="1" x14ac:dyDescent="0.3">
      <c r="J106" s="66">
        <v>46022</v>
      </c>
      <c r="K106" s="67">
        <f>EOMONTH(J106,12)</f>
        <v>46387</v>
      </c>
      <c r="L106" s="67">
        <f>EOMONTH(K106,12)</f>
        <v>46752</v>
      </c>
      <c r="M106" s="67">
        <f>EOMONTH(L106,12)</f>
        <v>47118</v>
      </c>
      <c r="N106" s="67">
        <f>EOMONTH(M106,12)</f>
        <v>47483</v>
      </c>
      <c r="O106" s="67">
        <f>EOMONTH(N106,12)</f>
        <v>47848</v>
      </c>
    </row>
    <row r="107" spans="1:15" ht="14.25" customHeight="1" x14ac:dyDescent="0.3">
      <c r="B107" t="s">
        <v>93</v>
      </c>
      <c r="J107" s="13">
        <f ca="1">-E27</f>
        <v>-55.017290816326543</v>
      </c>
      <c r="K107">
        <v>0</v>
      </c>
      <c r="L107">
        <v>0</v>
      </c>
      <c r="M107">
        <v>0</v>
      </c>
      <c r="N107">
        <v>0</v>
      </c>
      <c r="O107" s="13">
        <f>J102</f>
        <v>122.19317724407729</v>
      </c>
    </row>
    <row r="108" spans="1:15" ht="14.25" customHeight="1" x14ac:dyDescent="0.3">
      <c r="A108" s="1" t="s">
        <v>0</v>
      </c>
      <c r="B108" s="68" t="s">
        <v>94</v>
      </c>
      <c r="C108" s="69"/>
      <c r="D108" s="69"/>
      <c r="E108" s="69"/>
      <c r="F108" s="69"/>
      <c r="G108" s="69"/>
      <c r="H108" s="69"/>
      <c r="I108" s="69"/>
      <c r="J108" s="70"/>
      <c r="K108" s="69"/>
      <c r="L108" s="69"/>
      <c r="M108" s="69"/>
      <c r="N108" s="69"/>
      <c r="O108" s="71">
        <f ca="1">O107/J104</f>
        <v>2.7333261928468642</v>
      </c>
    </row>
    <row r="109" spans="1:15" ht="14.25" customHeight="1" x14ac:dyDescent="0.3">
      <c r="B109" s="72" t="s">
        <v>30</v>
      </c>
      <c r="C109" s="73"/>
      <c r="D109" s="73"/>
      <c r="E109" s="73"/>
      <c r="F109" s="73"/>
      <c r="G109" s="73"/>
      <c r="H109" s="73"/>
      <c r="I109" s="73"/>
      <c r="J109" s="74">
        <f ca="1">XIRR(J107:O107,J106:O106)</f>
        <v>0.222617095708847</v>
      </c>
      <c r="K109" s="73"/>
      <c r="L109" s="73"/>
      <c r="M109" s="73"/>
      <c r="N109" s="73"/>
      <c r="O109" s="75">
        <f ca="1">XIRR(J107:O107,J106:O106)</f>
        <v>0.222617095708847</v>
      </c>
    </row>
    <row r="112" spans="1:15" ht="14.25" customHeight="1" x14ac:dyDescent="0.3">
      <c r="B112" s="31" t="s">
        <v>95</v>
      </c>
      <c r="C112" s="32"/>
      <c r="D112" s="32"/>
      <c r="E112" s="32"/>
      <c r="F112" s="32"/>
      <c r="G112" s="32"/>
      <c r="H112" s="32"/>
      <c r="I112" s="32"/>
      <c r="J112" s="33"/>
      <c r="K112" s="32"/>
      <c r="L112" s="32"/>
      <c r="M112" s="32"/>
      <c r="N112" s="32"/>
      <c r="O112" s="65"/>
    </row>
    <row r="114" spans="2:15" ht="14.25" customHeight="1" x14ac:dyDescent="0.3">
      <c r="B114" s="16" t="s">
        <v>220</v>
      </c>
      <c r="J114" s="67">
        <f t="shared" ref="J114:O114" si="15">J106</f>
        <v>46022</v>
      </c>
      <c r="K114" s="67">
        <f t="shared" si="15"/>
        <v>46387</v>
      </c>
      <c r="L114" s="67">
        <f t="shared" si="15"/>
        <v>46752</v>
      </c>
      <c r="M114" s="67">
        <f t="shared" si="15"/>
        <v>47118</v>
      </c>
      <c r="N114" s="67">
        <f t="shared" si="15"/>
        <v>47483</v>
      </c>
      <c r="O114" s="67">
        <f t="shared" si="15"/>
        <v>47848</v>
      </c>
    </row>
    <row r="115" spans="2:15" ht="14.25" customHeight="1" x14ac:dyDescent="0.3">
      <c r="B115" t="s">
        <v>96</v>
      </c>
      <c r="J115" s="76">
        <f>-J84</f>
        <v>-57.6295</v>
      </c>
    </row>
    <row r="116" spans="2:15" ht="14.25" customHeight="1" x14ac:dyDescent="0.3">
      <c r="B116" t="s">
        <v>97</v>
      </c>
      <c r="K116" s="76">
        <f>K86</f>
        <v>1.27600698</v>
      </c>
      <c r="L116" s="76">
        <f>L86</f>
        <v>3.0011725442987798</v>
      </c>
      <c r="M116" s="76">
        <f>M86</f>
        <v>4.1647974028581825</v>
      </c>
      <c r="N116" s="76">
        <f>N86</f>
        <v>5.5186415968825218</v>
      </c>
      <c r="O116" s="76">
        <f>O86</f>
        <v>6.1355848326237847</v>
      </c>
    </row>
    <row r="117" spans="2:15" ht="14.25" customHeight="1" x14ac:dyDescent="0.3">
      <c r="B117" t="s">
        <v>98</v>
      </c>
      <c r="K117" s="76">
        <f>K85</f>
        <v>4.6910413000000002</v>
      </c>
      <c r="L117" s="76">
        <f>L85</f>
        <v>4.558997585318</v>
      </c>
      <c r="M117" s="76">
        <f>M85</f>
        <v>4.2681856380560976</v>
      </c>
      <c r="N117" s="76">
        <f>N85</f>
        <v>3.9350018458274429</v>
      </c>
      <c r="O117" s="76">
        <f>O85</f>
        <v>3.4935105180768411</v>
      </c>
    </row>
    <row r="118" spans="2:15" ht="14.25" customHeight="1" x14ac:dyDescent="0.3">
      <c r="B118" t="s">
        <v>99</v>
      </c>
      <c r="O118" s="76">
        <f>O87</f>
        <v>37.533296643336726</v>
      </c>
    </row>
    <row r="119" spans="2:15" ht="14.25" customHeight="1" x14ac:dyDescent="0.3">
      <c r="B119" s="36" t="s">
        <v>100</v>
      </c>
      <c r="C119" s="36"/>
      <c r="D119" s="36"/>
      <c r="E119" s="36"/>
      <c r="F119" s="36"/>
      <c r="G119" s="36"/>
      <c r="H119" s="36"/>
      <c r="I119" s="36"/>
      <c r="J119" s="77">
        <f t="shared" ref="J119:O119" si="16">SUM(J115:J118)</f>
        <v>-57.6295</v>
      </c>
      <c r="K119" s="77">
        <f t="shared" si="16"/>
        <v>5.9670482800000002</v>
      </c>
      <c r="L119" s="77">
        <f t="shared" si="16"/>
        <v>7.5601701296167798</v>
      </c>
      <c r="M119" s="77">
        <f t="shared" si="16"/>
        <v>8.4329830409142801</v>
      </c>
      <c r="N119" s="77">
        <f t="shared" si="16"/>
        <v>9.4536434427099643</v>
      </c>
      <c r="O119" s="77">
        <f t="shared" si="16"/>
        <v>47.16239199403735</v>
      </c>
    </row>
    <row r="120" spans="2:15" ht="14.25" customHeight="1" x14ac:dyDescent="0.3">
      <c r="B120" s="31" t="s">
        <v>30</v>
      </c>
      <c r="C120" s="78"/>
      <c r="D120" s="78"/>
      <c r="E120" s="78"/>
      <c r="F120" s="79"/>
      <c r="G120" s="78"/>
      <c r="H120" s="78"/>
      <c r="I120" s="78"/>
      <c r="J120" s="80">
        <f>IRR(J119:O119)</f>
        <v>8.0563456515547527E-2</v>
      </c>
    </row>
  </sheetData>
  <pageMargins left="0.7" right="0.7" top="0.75" bottom="0.75" header="0.511811023622047" footer="0.511811023622047"/>
  <pageSetup orientation="portrait" horizontalDpi="300" verticalDpi="300"/>
  <ignoredErrors>
    <ignoredError sqref="M25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45"/>
  <sheetViews>
    <sheetView tabSelected="1" topLeftCell="A2" zoomScale="92" zoomScaleNormal="94" workbookViewId="0">
      <selection activeCell="D119" sqref="D119"/>
    </sheetView>
  </sheetViews>
  <sheetFormatPr defaultColWidth="8.6640625" defaultRowHeight="14.4" x14ac:dyDescent="0.3"/>
  <cols>
    <col min="1" max="1" width="2" customWidth="1"/>
    <col min="2" max="2" width="28" customWidth="1"/>
    <col min="3" max="4" width="12" customWidth="1"/>
    <col min="5" max="5" width="9.5546875" bestFit="1" customWidth="1"/>
    <col min="6" max="7" width="12" customWidth="1"/>
    <col min="8" max="8" width="12.21875" customWidth="1"/>
    <col min="9" max="9" width="22" customWidth="1"/>
    <col min="10" max="12" width="13" customWidth="1"/>
  </cols>
  <sheetData>
    <row r="1" spans="2:13" ht="7.5" customHeight="1" x14ac:dyDescent="0.3"/>
    <row r="2" spans="2:13" ht="27.75" customHeight="1" x14ac:dyDescent="0.3">
      <c r="B2" s="178" t="s">
        <v>101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2:13" ht="6" customHeight="1" x14ac:dyDescent="0.3"/>
    <row r="4" spans="2:13" ht="21.75" customHeight="1" x14ac:dyDescent="0.3">
      <c r="B4" s="169" t="s">
        <v>102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</row>
    <row r="5" spans="2:13" ht="18" customHeight="1" x14ac:dyDescent="0.3">
      <c r="B5" s="81" t="s">
        <v>103</v>
      </c>
      <c r="C5" s="82" t="s">
        <v>105</v>
      </c>
      <c r="D5" s="82" t="s">
        <v>197</v>
      </c>
      <c r="E5" s="82" t="s">
        <v>106</v>
      </c>
    </row>
    <row r="6" spans="2:13" ht="19.5" customHeight="1" x14ac:dyDescent="0.3">
      <c r="B6" s="83" t="s">
        <v>107</v>
      </c>
      <c r="C6" s="145" t="s">
        <v>213</v>
      </c>
      <c r="D6" s="139" t="s">
        <v>198</v>
      </c>
      <c r="E6" s="139"/>
    </row>
    <row r="7" spans="2:13" ht="15" customHeight="1" x14ac:dyDescent="0.3">
      <c r="B7" s="176" t="s">
        <v>108</v>
      </c>
      <c r="C7" s="176"/>
      <c r="D7" s="176"/>
      <c r="E7" s="176"/>
      <c r="F7" s="176"/>
      <c r="G7" s="176"/>
    </row>
    <row r="8" spans="2:13" ht="15" customHeight="1" x14ac:dyDescent="0.3">
      <c r="B8" s="84" t="s">
        <v>109</v>
      </c>
      <c r="C8" s="85">
        <v>0.08</v>
      </c>
      <c r="D8" s="86">
        <v>0.09</v>
      </c>
      <c r="E8" s="87">
        <v>0.05</v>
      </c>
    </row>
    <row r="9" spans="2:13" ht="15" customHeight="1" x14ac:dyDescent="0.3">
      <c r="B9" s="84" t="s">
        <v>110</v>
      </c>
      <c r="C9" s="85">
        <v>0.06</v>
      </c>
      <c r="D9" s="86">
        <v>0.09</v>
      </c>
      <c r="E9" s="87">
        <v>0.03</v>
      </c>
    </row>
    <row r="10" spans="2:13" ht="15" customHeight="1" x14ac:dyDescent="0.3">
      <c r="B10" s="84" t="s">
        <v>111</v>
      </c>
      <c r="C10" s="85">
        <v>0.05</v>
      </c>
      <c r="D10" s="86">
        <v>0.1</v>
      </c>
      <c r="E10" s="87">
        <v>0.02</v>
      </c>
    </row>
    <row r="11" spans="2:13" ht="15" customHeight="1" x14ac:dyDescent="0.3">
      <c r="B11" s="84" t="s">
        <v>112</v>
      </c>
      <c r="C11" s="85">
        <v>0.05</v>
      </c>
      <c r="D11" s="86">
        <v>0.11</v>
      </c>
      <c r="E11" s="87">
        <v>0.02</v>
      </c>
    </row>
    <row r="12" spans="2:13" ht="15" customHeight="1" x14ac:dyDescent="0.3">
      <c r="B12" s="84" t="s">
        <v>113</v>
      </c>
      <c r="C12" s="85">
        <v>0.04</v>
      </c>
      <c r="D12" s="86">
        <v>0.1</v>
      </c>
      <c r="E12" s="87">
        <v>0.02</v>
      </c>
    </row>
    <row r="13" spans="2:13" ht="15" customHeight="1" x14ac:dyDescent="0.3">
      <c r="B13" s="176" t="s">
        <v>114</v>
      </c>
      <c r="C13" s="176"/>
      <c r="D13" s="176"/>
      <c r="E13" s="176"/>
      <c r="F13" s="176"/>
      <c r="G13" s="176"/>
    </row>
    <row r="14" spans="2:13" ht="15" customHeight="1" x14ac:dyDescent="0.3">
      <c r="B14" s="84" t="s">
        <v>115</v>
      </c>
      <c r="C14" s="85">
        <v>0.153</v>
      </c>
      <c r="D14" s="86">
        <v>0.153</v>
      </c>
      <c r="E14" s="87">
        <v>0.14000000000000001</v>
      </c>
    </row>
    <row r="15" spans="2:13" ht="15" customHeight="1" x14ac:dyDescent="0.3">
      <c r="B15" s="84" t="s">
        <v>116</v>
      </c>
      <c r="C15" s="85">
        <v>0.158</v>
      </c>
      <c r="D15" s="86">
        <v>0.158</v>
      </c>
      <c r="E15" s="87">
        <v>0.14499999999999999</v>
      </c>
    </row>
    <row r="16" spans="2:13" ht="15" customHeight="1" x14ac:dyDescent="0.3">
      <c r="B16" s="84" t="s">
        <v>117</v>
      </c>
      <c r="C16" s="85">
        <v>0.16300000000000001</v>
      </c>
      <c r="D16" s="86">
        <v>0.16300000000000001</v>
      </c>
      <c r="E16" s="87">
        <v>0.15</v>
      </c>
    </row>
    <row r="17" spans="2:12" ht="15" customHeight="1" x14ac:dyDescent="0.3">
      <c r="B17" s="84" t="s">
        <v>118</v>
      </c>
      <c r="C17" s="85">
        <v>0.16800000000000001</v>
      </c>
      <c r="D17" s="86">
        <v>0.16800000000000001</v>
      </c>
      <c r="E17" s="87">
        <v>0.155</v>
      </c>
    </row>
    <row r="18" spans="2:12" ht="15" customHeight="1" x14ac:dyDescent="0.3">
      <c r="B18" s="84" t="s">
        <v>119</v>
      </c>
      <c r="C18" s="85">
        <v>0.16800000000000001</v>
      </c>
      <c r="D18" s="86">
        <v>0.17299999999999999</v>
      </c>
      <c r="E18" s="87">
        <v>0.155</v>
      </c>
    </row>
    <row r="19" spans="2:12" ht="15" customHeight="1" x14ac:dyDescent="0.3">
      <c r="B19" s="176" t="s">
        <v>120</v>
      </c>
      <c r="C19" s="176"/>
      <c r="D19" s="176"/>
      <c r="E19" s="176"/>
      <c r="F19" s="176"/>
      <c r="G19" s="176"/>
    </row>
    <row r="20" spans="2:12" ht="15" customHeight="1" x14ac:dyDescent="0.3">
      <c r="B20" s="84" t="s">
        <v>121</v>
      </c>
      <c r="C20" s="85">
        <v>6.5000000000000002E-2</v>
      </c>
      <c r="D20" s="86">
        <v>0.06</v>
      </c>
      <c r="E20" s="87">
        <v>7.4999999999999997E-2</v>
      </c>
    </row>
    <row r="21" spans="2:12" ht="15" customHeight="1" x14ac:dyDescent="0.3">
      <c r="B21" s="84" t="s">
        <v>122</v>
      </c>
      <c r="C21" s="85">
        <v>0.06</v>
      </c>
      <c r="D21" s="86">
        <v>0.06</v>
      </c>
      <c r="E21" s="87">
        <v>7.4999999999999997E-2</v>
      </c>
    </row>
    <row r="22" spans="2:12" ht="15" customHeight="1" x14ac:dyDescent="0.3">
      <c r="B22" s="84" t="s">
        <v>123</v>
      </c>
      <c r="C22" s="85">
        <v>2.5999999999999999E-2</v>
      </c>
      <c r="D22" s="86">
        <v>2.5999999999999999E-2</v>
      </c>
      <c r="E22" s="87">
        <v>2.8000000000000001E-2</v>
      </c>
    </row>
    <row r="23" spans="2:12" ht="15" customHeight="1" x14ac:dyDescent="0.3">
      <c r="B23" s="84" t="s">
        <v>124</v>
      </c>
      <c r="C23" s="88">
        <v>8.5</v>
      </c>
      <c r="D23" s="89">
        <v>8.5</v>
      </c>
      <c r="E23" s="90">
        <v>8.5</v>
      </c>
    </row>
    <row r="24" spans="2:12" ht="15" customHeight="1" x14ac:dyDescent="0.3">
      <c r="B24" s="176" t="s">
        <v>125</v>
      </c>
      <c r="C24" s="176"/>
      <c r="D24" s="176"/>
      <c r="E24" s="176"/>
      <c r="F24" s="176"/>
      <c r="G24" s="176"/>
    </row>
    <row r="25" spans="2:12" ht="15" customHeight="1" x14ac:dyDescent="0.3">
      <c r="B25" s="84" t="s">
        <v>126</v>
      </c>
      <c r="C25" s="175">
        <f>LBO!E7</f>
        <v>11.5259</v>
      </c>
      <c r="D25" s="175"/>
      <c r="E25" s="175"/>
    </row>
    <row r="26" spans="2:12" ht="15" customHeight="1" x14ac:dyDescent="0.3">
      <c r="B26" s="84" t="s">
        <v>127</v>
      </c>
      <c r="C26" s="177">
        <f>LBO!E8</f>
        <v>8.5</v>
      </c>
      <c r="D26" s="177"/>
      <c r="E26" s="177"/>
    </row>
    <row r="27" spans="2:12" ht="15" customHeight="1" x14ac:dyDescent="0.3">
      <c r="B27" s="84" t="s">
        <v>128</v>
      </c>
      <c r="C27" s="175">
        <f>LBO!E23</f>
        <v>57.6295</v>
      </c>
      <c r="D27" s="175"/>
      <c r="E27" s="175"/>
    </row>
    <row r="28" spans="2:12" ht="15" customHeight="1" x14ac:dyDescent="0.3">
      <c r="B28" s="84" t="s">
        <v>129</v>
      </c>
      <c r="C28" s="175">
        <f ca="1">LBO!E27</f>
        <v>55.017290816326543</v>
      </c>
      <c r="D28" s="175"/>
      <c r="E28" s="175"/>
    </row>
    <row r="29" spans="2:12" ht="15" customHeight="1" x14ac:dyDescent="0.3">
      <c r="B29" s="84" t="s">
        <v>130</v>
      </c>
      <c r="C29" s="175">
        <f>LBO!J12</f>
        <v>1.7095</v>
      </c>
      <c r="D29" s="175"/>
      <c r="E29" s="175"/>
    </row>
    <row r="30" spans="2:12" ht="7.5" customHeight="1" x14ac:dyDescent="0.3"/>
    <row r="31" spans="2:12" ht="21.75" customHeight="1" x14ac:dyDescent="0.3">
      <c r="B31" s="169" t="s">
        <v>219</v>
      </c>
      <c r="C31" s="169"/>
      <c r="D31" s="169"/>
      <c r="E31" s="169"/>
      <c r="F31" s="169"/>
      <c r="G31" s="169"/>
      <c r="H31" s="169"/>
      <c r="I31" s="169"/>
      <c r="J31" s="169"/>
      <c r="K31" s="169"/>
      <c r="L31" s="169"/>
    </row>
    <row r="32" spans="2:12" ht="18" customHeight="1" x14ac:dyDescent="0.3">
      <c r="B32" s="82"/>
      <c r="C32" s="82" t="s">
        <v>21</v>
      </c>
      <c r="D32" s="82" t="s">
        <v>26</v>
      </c>
      <c r="E32" s="82" t="s">
        <v>31</v>
      </c>
      <c r="F32" s="82" t="s">
        <v>35</v>
      </c>
      <c r="G32" s="82" t="s">
        <v>37</v>
      </c>
      <c r="I32" s="82" t="s">
        <v>131</v>
      </c>
      <c r="J32" s="82" t="s">
        <v>132</v>
      </c>
      <c r="K32" s="82" t="s">
        <v>105</v>
      </c>
      <c r="L32" s="82" t="s">
        <v>106</v>
      </c>
    </row>
    <row r="33" spans="2:12" ht="15.75" customHeight="1" x14ac:dyDescent="0.3">
      <c r="B33" s="174" t="s">
        <v>133</v>
      </c>
      <c r="C33" s="174"/>
      <c r="D33" s="174"/>
      <c r="E33" s="174"/>
      <c r="F33" s="174"/>
      <c r="G33" s="174"/>
      <c r="I33" s="91" t="s">
        <v>134</v>
      </c>
      <c r="J33" s="92"/>
      <c r="K33" s="92"/>
      <c r="L33" s="92"/>
    </row>
    <row r="34" spans="2:12" ht="15.75" customHeight="1" x14ac:dyDescent="0.3">
      <c r="B34" s="93" t="s">
        <v>104</v>
      </c>
      <c r="C34" s="94">
        <f>LBO!J8*(1+C8)</f>
        <v>73.850399999999993</v>
      </c>
      <c r="D34" s="94">
        <f>C34*(1+C9)</f>
        <v>78.281424000000001</v>
      </c>
      <c r="E34" s="94">
        <f>D34*(1+C10)</f>
        <v>82.195495200000011</v>
      </c>
      <c r="F34" s="94">
        <f>E34*(1+C11)</f>
        <v>86.305269960000018</v>
      </c>
      <c r="G34" s="94">
        <f>F34*(1+C12)</f>
        <v>89.757480758400021</v>
      </c>
      <c r="I34" s="95" t="s">
        <v>135</v>
      </c>
      <c r="J34" s="96">
        <f t="shared" ref="J34:L38" si="0">C114</f>
        <v>15.079256767411204</v>
      </c>
      <c r="K34" s="97">
        <f t="shared" si="0"/>
        <v>18.791349869107531</v>
      </c>
      <c r="L34" s="98">
        <f t="shared" si="0"/>
        <v>12.1643199251028</v>
      </c>
    </row>
    <row r="35" spans="2:12" ht="15.75" customHeight="1" x14ac:dyDescent="0.3">
      <c r="B35" s="99" t="s">
        <v>105</v>
      </c>
      <c r="C35" s="100">
        <f>LBO!K35</f>
        <v>74.876099999999994</v>
      </c>
      <c r="D35" s="100">
        <f>LBO!L35</f>
        <v>81.614948999999996</v>
      </c>
      <c r="E35" s="100">
        <f>LBO!M35</f>
        <v>88.960294410000003</v>
      </c>
      <c r="F35" s="100">
        <f>LBO!N35</f>
        <v>97.856323851000013</v>
      </c>
      <c r="G35" s="100">
        <f>LBO!O35</f>
        <v>108.62051947461002</v>
      </c>
      <c r="I35" s="95" t="s">
        <v>124</v>
      </c>
      <c r="J35" s="101">
        <f t="shared" si="0"/>
        <v>8.5</v>
      </c>
      <c r="K35" s="102">
        <f t="shared" si="0"/>
        <v>8.5</v>
      </c>
      <c r="L35" s="103">
        <f t="shared" si="0"/>
        <v>8.5</v>
      </c>
    </row>
    <row r="36" spans="2:12" ht="15.75" customHeight="1" x14ac:dyDescent="0.3">
      <c r="B36" s="104" t="s">
        <v>106</v>
      </c>
      <c r="C36" s="105">
        <f>LBO!J8*(1+E8)</f>
        <v>71.798999999999992</v>
      </c>
      <c r="D36" s="105">
        <f>C36*(1+E9)</f>
        <v>73.952969999999993</v>
      </c>
      <c r="E36" s="105">
        <f>D36*(1+E10)</f>
        <v>75.43202939999999</v>
      </c>
      <c r="F36" s="105">
        <f>E36*(1+E11)</f>
        <v>76.940669987999996</v>
      </c>
      <c r="G36" s="105">
        <f>F36*(1+E12)</f>
        <v>78.479483387759998</v>
      </c>
      <c r="I36" s="95" t="s">
        <v>136</v>
      </c>
      <c r="J36" s="96">
        <f t="shared" si="0"/>
        <v>128.17368252299522</v>
      </c>
      <c r="K36" s="97">
        <f t="shared" si="0"/>
        <v>159.72647388741402</v>
      </c>
      <c r="L36" s="98">
        <f t="shared" si="0"/>
        <v>103.3967193633738</v>
      </c>
    </row>
    <row r="37" spans="2:12" ht="15.75" customHeight="1" x14ac:dyDescent="0.3">
      <c r="B37" s="174" t="s">
        <v>137</v>
      </c>
      <c r="C37" s="174"/>
      <c r="D37" s="174"/>
      <c r="E37" s="174"/>
      <c r="F37" s="174"/>
      <c r="G37" s="174"/>
      <c r="I37" s="95" t="s">
        <v>138</v>
      </c>
      <c r="J37" s="96">
        <f t="shared" si="0"/>
        <v>43.904701033386203</v>
      </c>
      <c r="K37" s="97">
        <f t="shared" si="0"/>
        <v>37.533296643336726</v>
      </c>
      <c r="L37" s="98">
        <f t="shared" si="0"/>
        <v>56.018771054332447</v>
      </c>
    </row>
    <row r="38" spans="2:12" ht="15.75" customHeight="1" x14ac:dyDescent="0.3">
      <c r="B38" s="93" t="s">
        <v>104</v>
      </c>
      <c r="C38" s="94">
        <f>C34*C14</f>
        <v>11.299111199999999</v>
      </c>
      <c r="D38" s="94">
        <f>D34*C15</f>
        <v>12.368464992</v>
      </c>
      <c r="E38" s="94">
        <f>E34*C16</f>
        <v>13.397865717600002</v>
      </c>
      <c r="F38" s="94">
        <f>F34*C17</f>
        <v>14.499285353280005</v>
      </c>
      <c r="G38" s="94">
        <f>G34*C18</f>
        <v>15.079256767411204</v>
      </c>
      <c r="I38" s="95" t="s">
        <v>139</v>
      </c>
      <c r="J38" s="96">
        <f t="shared" si="0"/>
        <v>84.268981489609018</v>
      </c>
      <c r="K38" s="97">
        <f t="shared" si="0"/>
        <v>122.19317724407729</v>
      </c>
      <c r="L38" s="98">
        <f t="shared" si="0"/>
        <v>47.377948309041358</v>
      </c>
    </row>
    <row r="39" spans="2:12" ht="15.75" customHeight="1" x14ac:dyDescent="0.3">
      <c r="B39" s="99" t="s">
        <v>105</v>
      </c>
      <c r="C39" s="100">
        <f>LBO!K38</f>
        <v>11.456043299999999</v>
      </c>
      <c r="D39" s="100">
        <f>LBO!L38</f>
        <v>13.87454133</v>
      </c>
      <c r="E39" s="100">
        <f>LBO!M38</f>
        <v>15.56805152175</v>
      </c>
      <c r="F39" s="100">
        <f>LBO!N38</f>
        <v>17.614138293180002</v>
      </c>
      <c r="G39" s="100">
        <f>LBO!O38</f>
        <v>18.791349869107531</v>
      </c>
      <c r="I39" s="106"/>
      <c r="J39" s="107"/>
      <c r="K39" s="107"/>
      <c r="L39" s="107"/>
    </row>
    <row r="40" spans="2:12" ht="15.75" customHeight="1" x14ac:dyDescent="0.3">
      <c r="B40" s="104" t="s">
        <v>106</v>
      </c>
      <c r="C40" s="105">
        <f>C36*E14</f>
        <v>10.05186</v>
      </c>
      <c r="D40" s="105">
        <f>D36*E15</f>
        <v>10.723180649999998</v>
      </c>
      <c r="E40" s="105">
        <f>E36*E16</f>
        <v>11.314804409999999</v>
      </c>
      <c r="F40" s="105">
        <f>F36*E17</f>
        <v>11.925803848139999</v>
      </c>
      <c r="G40" s="105">
        <f>G36*E18</f>
        <v>12.1643199251028</v>
      </c>
      <c r="I40" s="91" t="s">
        <v>140</v>
      </c>
      <c r="J40" s="92"/>
      <c r="K40" s="92"/>
      <c r="L40" s="92"/>
    </row>
    <row r="41" spans="2:12" ht="15.75" customHeight="1" x14ac:dyDescent="0.3">
      <c r="B41" s="174" t="s">
        <v>141</v>
      </c>
      <c r="C41" s="174"/>
      <c r="D41" s="174"/>
      <c r="E41" s="174"/>
      <c r="F41" s="174"/>
      <c r="G41" s="174"/>
      <c r="I41" s="95" t="s">
        <v>142</v>
      </c>
      <c r="J41" s="108">
        <f ca="1">C119</f>
        <v>1.5316817720257856</v>
      </c>
      <c r="K41" s="109">
        <f ca="1">D119</f>
        <v>2.2209958983988378</v>
      </c>
      <c r="L41" s="110">
        <f ca="1">E119</f>
        <v>0.86114651605094683</v>
      </c>
    </row>
    <row r="42" spans="2:12" ht="15.75" customHeight="1" x14ac:dyDescent="0.3">
      <c r="B42" s="93" t="s">
        <v>104</v>
      </c>
      <c r="C42" s="111">
        <f t="shared" ref="C42:G44" si="1">C38/C34</f>
        <v>0.153</v>
      </c>
      <c r="D42" s="111">
        <f t="shared" si="1"/>
        <v>0.158</v>
      </c>
      <c r="E42" s="111">
        <f t="shared" si="1"/>
        <v>0.16300000000000001</v>
      </c>
      <c r="F42" s="111">
        <f t="shared" si="1"/>
        <v>0.16800000000000001</v>
      </c>
      <c r="G42" s="111">
        <f t="shared" si="1"/>
        <v>0.16800000000000001</v>
      </c>
      <c r="I42" s="95" t="s">
        <v>143</v>
      </c>
      <c r="J42" s="112">
        <f t="shared" ref="J42:L43" ca="1" si="2">C124</f>
        <v>8.8963761925697341E-2</v>
      </c>
      <c r="K42" s="113">
        <f t="shared" ca="1" si="2"/>
        <v>0.222617095708847</v>
      </c>
      <c r="L42" s="114">
        <f t="shared" ca="1" si="2"/>
        <v>-2.943970263004303E-2</v>
      </c>
    </row>
    <row r="43" spans="2:12" ht="15.75" customHeight="1" x14ac:dyDescent="0.3">
      <c r="B43" s="99" t="s">
        <v>105</v>
      </c>
      <c r="C43" s="115">
        <f t="shared" si="1"/>
        <v>0.153</v>
      </c>
      <c r="D43" s="115">
        <f t="shared" si="1"/>
        <v>0.17</v>
      </c>
      <c r="E43" s="115">
        <f t="shared" si="1"/>
        <v>0.17499999999999999</v>
      </c>
      <c r="F43" s="115">
        <f t="shared" si="1"/>
        <v>0.18</v>
      </c>
      <c r="G43" s="115">
        <f t="shared" si="1"/>
        <v>0.17299999999999999</v>
      </c>
      <c r="I43" s="95" t="s">
        <v>144</v>
      </c>
      <c r="J43" s="112">
        <f t="shared" si="2"/>
        <v>8.0563456515547527E-2</v>
      </c>
      <c r="K43" s="113">
        <f t="shared" si="2"/>
        <v>8.0563456515547527E-2</v>
      </c>
      <c r="L43" s="114">
        <f t="shared" si="2"/>
        <v>8.0563456515547527E-2</v>
      </c>
    </row>
    <row r="44" spans="2:12" ht="15.75" customHeight="1" x14ac:dyDescent="0.3">
      <c r="B44" s="104" t="s">
        <v>106</v>
      </c>
      <c r="C44" s="116">
        <f t="shared" si="1"/>
        <v>0.14000000000000001</v>
      </c>
      <c r="D44" s="116">
        <f t="shared" si="1"/>
        <v>0.14499999999999999</v>
      </c>
      <c r="E44" s="116">
        <f t="shared" si="1"/>
        <v>0.15</v>
      </c>
      <c r="F44" s="116">
        <f t="shared" si="1"/>
        <v>0.155</v>
      </c>
      <c r="G44" s="116">
        <f t="shared" si="1"/>
        <v>0.155</v>
      </c>
      <c r="I44" s="106"/>
      <c r="J44" s="107"/>
      <c r="K44" s="107"/>
      <c r="L44" s="107"/>
    </row>
    <row r="45" spans="2:12" ht="15.75" customHeight="1" x14ac:dyDescent="0.3">
      <c r="B45" s="174" t="s">
        <v>145</v>
      </c>
      <c r="C45" s="174"/>
      <c r="D45" s="174"/>
      <c r="E45" s="174"/>
      <c r="F45" s="174"/>
      <c r="G45" s="174"/>
      <c r="I45" s="91" t="s">
        <v>146</v>
      </c>
      <c r="J45" s="92"/>
      <c r="K45" s="92"/>
      <c r="L45" s="92"/>
    </row>
    <row r="46" spans="2:12" ht="15.75" customHeight="1" x14ac:dyDescent="0.3">
      <c r="B46" s="93" t="s">
        <v>104</v>
      </c>
      <c r="C46" s="117">
        <v>3.15</v>
      </c>
      <c r="D46" s="117">
        <v>3.4</v>
      </c>
      <c r="E46" s="117">
        <v>3.65</v>
      </c>
      <c r="F46" s="117">
        <v>3.88</v>
      </c>
      <c r="G46" s="117">
        <v>4.0351999999999997</v>
      </c>
      <c r="I46" s="95" t="s">
        <v>147</v>
      </c>
      <c r="J46" s="101">
        <f t="shared" ref="J46:L48" si="3">C126</f>
        <v>5</v>
      </c>
      <c r="K46" s="102">
        <f t="shared" si="3"/>
        <v>5</v>
      </c>
      <c r="L46" s="103">
        <f t="shared" si="3"/>
        <v>5</v>
      </c>
    </row>
    <row r="47" spans="2:12" ht="15.75" customHeight="1" x14ac:dyDescent="0.3">
      <c r="B47" s="99" t="s">
        <v>105</v>
      </c>
      <c r="C47" s="100">
        <f>LBO!K56</f>
        <v>3.15</v>
      </c>
      <c r="D47" s="100">
        <f>LBO!L56</f>
        <v>3.4</v>
      </c>
      <c r="E47" s="100">
        <f>LBO!M56</f>
        <v>3.65</v>
      </c>
      <c r="F47" s="100">
        <f>LBO!N56</f>
        <v>3.88</v>
      </c>
      <c r="G47" s="100">
        <f>LBO!O56</f>
        <v>4.0351999999999997</v>
      </c>
      <c r="I47" s="95" t="s">
        <v>148</v>
      </c>
      <c r="J47" s="101">
        <f t="shared" si="3"/>
        <v>2.9115958240244044</v>
      </c>
      <c r="K47" s="102">
        <f t="shared" si="3"/>
        <v>1.9973709661507844</v>
      </c>
      <c r="L47" s="103">
        <f t="shared" si="3"/>
        <v>4.6051708109657463</v>
      </c>
    </row>
    <row r="48" spans="2:12" ht="15.75" customHeight="1" x14ac:dyDescent="0.3">
      <c r="B48" s="104" t="s">
        <v>106</v>
      </c>
      <c r="C48" s="105">
        <f>C36*0.04</f>
        <v>2.8719599999999996</v>
      </c>
      <c r="D48" s="105">
        <f>D36*0.04</f>
        <v>2.9581187999999998</v>
      </c>
      <c r="E48" s="105">
        <f>E36*0.04</f>
        <v>3.0172811759999996</v>
      </c>
      <c r="F48" s="105">
        <f>F36*0.04</f>
        <v>3.07762679952</v>
      </c>
      <c r="G48" s="105">
        <f>G36*0.04</f>
        <v>3.1391793355103998</v>
      </c>
      <c r="I48" s="95" t="s">
        <v>149</v>
      </c>
      <c r="J48" s="101">
        <f t="shared" si="3"/>
        <v>3.9149302920986981</v>
      </c>
      <c r="K48" s="102">
        <f t="shared" si="3"/>
        <v>5.3789303830268897</v>
      </c>
      <c r="L48" s="103">
        <f t="shared" si="3"/>
        <v>2.6783817730442894</v>
      </c>
    </row>
    <row r="49" spans="2:7" ht="15" customHeight="1" x14ac:dyDescent="0.3">
      <c r="B49" s="174" t="s">
        <v>150</v>
      </c>
      <c r="C49" s="174"/>
      <c r="D49" s="174"/>
      <c r="E49" s="174"/>
      <c r="F49" s="174"/>
      <c r="G49" s="174"/>
    </row>
    <row r="50" spans="2:7" ht="15" customHeight="1" x14ac:dyDescent="0.3">
      <c r="B50" s="93" t="s">
        <v>104</v>
      </c>
      <c r="C50" s="94">
        <f>C38-C46</f>
        <v>8.1491111999999983</v>
      </c>
      <c r="D50" s="94">
        <f>D38-D46</f>
        <v>8.9684649919999995</v>
      </c>
      <c r="E50" s="94">
        <f>E38-E46</f>
        <v>9.7478657176000016</v>
      </c>
      <c r="F50" s="94">
        <f>F38-F46</f>
        <v>10.619285353280006</v>
      </c>
      <c r="G50" s="94">
        <f>G38-G46</f>
        <v>11.044056767411204</v>
      </c>
    </row>
    <row r="51" spans="2:7" ht="15" customHeight="1" x14ac:dyDescent="0.3">
      <c r="B51" s="99" t="s">
        <v>105</v>
      </c>
      <c r="C51" s="100">
        <f>LBO!K41</f>
        <v>8.3060432999999989</v>
      </c>
      <c r="D51" s="100">
        <f>LBO!L41</f>
        <v>10.474541329999999</v>
      </c>
      <c r="E51" s="100">
        <f>LBO!M41</f>
        <v>11.91805152175</v>
      </c>
      <c r="F51" s="100">
        <f>LBO!N41</f>
        <v>13.734138293180003</v>
      </c>
      <c r="G51" s="100">
        <f>LBO!O41</f>
        <v>14.756149869107531</v>
      </c>
    </row>
    <row r="52" spans="2:7" ht="15" customHeight="1" x14ac:dyDescent="0.3">
      <c r="B52" s="104" t="s">
        <v>106</v>
      </c>
      <c r="C52" s="105">
        <f>C40-C48</f>
        <v>7.1798999999999999</v>
      </c>
      <c r="D52" s="105">
        <f>D40-D48</f>
        <v>7.7650618499999986</v>
      </c>
      <c r="E52" s="105">
        <f>E40-E48</f>
        <v>8.2975232339999998</v>
      </c>
      <c r="F52" s="105">
        <f>F40-F48</f>
        <v>8.8481770486199984</v>
      </c>
      <c r="G52" s="105">
        <f>G40-G48</f>
        <v>9.0251405895924002</v>
      </c>
    </row>
    <row r="53" spans="2:7" ht="15" customHeight="1" x14ac:dyDescent="0.3">
      <c r="B53" s="174" t="s">
        <v>151</v>
      </c>
      <c r="C53" s="174"/>
      <c r="D53" s="174"/>
      <c r="E53" s="174"/>
      <c r="F53" s="174"/>
      <c r="G53" s="174"/>
    </row>
    <row r="54" spans="2:7" ht="15" customHeight="1" x14ac:dyDescent="0.3">
      <c r="B54" s="93" t="s">
        <v>104</v>
      </c>
      <c r="C54" s="94">
        <f>C90*LBO!O7</f>
        <v>4.6910413000000002</v>
      </c>
      <c r="D54" s="94">
        <f>D90*LBO!P7</f>
        <v>4.5917635543811004</v>
      </c>
      <c r="E54" s="94">
        <f>E90*LBO!Q7</f>
        <v>4.3770407285824859</v>
      </c>
      <c r="F54" s="94">
        <f>F90*LBO!R7</f>
        <v>4.1482842343325794</v>
      </c>
      <c r="G54" s="94">
        <f>G90*LBO!S7</f>
        <v>3.8517305909239021</v>
      </c>
    </row>
    <row r="55" spans="2:7" ht="15" customHeight="1" x14ac:dyDescent="0.3">
      <c r="B55" s="99" t="s">
        <v>105</v>
      </c>
      <c r="C55" s="100">
        <f>LBO!K44</f>
        <v>4.6910413000000002</v>
      </c>
      <c r="D55" s="100">
        <f>LBO!L44</f>
        <v>4.558997585318</v>
      </c>
      <c r="E55" s="100">
        <f>LBO!M44</f>
        <v>4.2681856380560976</v>
      </c>
      <c r="F55" s="100">
        <f>LBO!N44</f>
        <v>3.9350018458274429</v>
      </c>
      <c r="G55" s="100">
        <f>LBO!O44</f>
        <v>3.4935105180768411</v>
      </c>
    </row>
    <row r="56" spans="2:7" ht="15" customHeight="1" x14ac:dyDescent="0.3">
      <c r="B56" s="104" t="s">
        <v>106</v>
      </c>
      <c r="C56" s="105">
        <f>C92*LBO!O7</f>
        <v>4.6910413000000002</v>
      </c>
      <c r="D56" s="105">
        <f>D92*LBO!P7</f>
        <v>4.6622265499999997</v>
      </c>
      <c r="E56" s="105">
        <f>E92*LBO!Q7</f>
        <v>4.61036</v>
      </c>
      <c r="F56" s="105">
        <f>F92*LBO!R7</f>
        <v>4.5918540589871997</v>
      </c>
      <c r="G56" s="105">
        <f>G92*LBO!S7</f>
        <v>4.5416676769259263</v>
      </c>
    </row>
    <row r="57" spans="2:7" ht="15" customHeight="1" x14ac:dyDescent="0.3">
      <c r="B57" s="174" t="s">
        <v>152</v>
      </c>
      <c r="C57" s="174"/>
      <c r="D57" s="174"/>
      <c r="E57" s="174"/>
      <c r="F57" s="174"/>
      <c r="G57" s="174"/>
    </row>
    <row r="58" spans="2:7" ht="15" customHeight="1" x14ac:dyDescent="0.3">
      <c r="B58" s="93" t="s">
        <v>104</v>
      </c>
      <c r="C58" s="94">
        <f>C50-C54</f>
        <v>3.4580698999999981</v>
      </c>
      <c r="D58" s="94">
        <f>D50-D54</f>
        <v>4.3767014376188991</v>
      </c>
      <c r="E58" s="94">
        <f>E50-E54</f>
        <v>5.3708249890175157</v>
      </c>
      <c r="F58" s="94">
        <f>F50-F54</f>
        <v>6.4710011189474264</v>
      </c>
      <c r="G58" s="94">
        <f>G50-G54</f>
        <v>7.1923261764873025</v>
      </c>
    </row>
    <row r="59" spans="2:7" ht="15" customHeight="1" x14ac:dyDescent="0.3">
      <c r="B59" s="99" t="s">
        <v>105</v>
      </c>
      <c r="C59" s="100">
        <f>LBO!K46</f>
        <v>3.6150019999999987</v>
      </c>
      <c r="D59" s="100">
        <f>LBO!L46</f>
        <v>5.9155437446819992</v>
      </c>
      <c r="E59" s="100">
        <f>LBO!M46</f>
        <v>7.6498658836939022</v>
      </c>
      <c r="F59" s="100">
        <f>LBO!N46</f>
        <v>9.7991364473525593</v>
      </c>
      <c r="G59" s="100">
        <f>LBO!O46</f>
        <v>11.262639351030691</v>
      </c>
    </row>
    <row r="60" spans="2:7" ht="15" customHeight="1" x14ac:dyDescent="0.3">
      <c r="B60" s="104" t="s">
        <v>106</v>
      </c>
      <c r="C60" s="105">
        <f>C52-C56</f>
        <v>2.4888586999999998</v>
      </c>
      <c r="D60" s="105">
        <f>D52-D56</f>
        <v>3.1028352999999989</v>
      </c>
      <c r="E60" s="105">
        <f>E52-E56</f>
        <v>3.6871632339999998</v>
      </c>
      <c r="F60" s="105">
        <f>F52-F56</f>
        <v>4.2563229896327988</v>
      </c>
      <c r="G60" s="105">
        <f>G52-G56</f>
        <v>4.4834729126664739</v>
      </c>
    </row>
    <row r="61" spans="2:7" ht="15" customHeight="1" x14ac:dyDescent="0.3">
      <c r="B61" s="174" t="s">
        <v>153</v>
      </c>
      <c r="C61" s="174"/>
      <c r="D61" s="174"/>
      <c r="E61" s="174"/>
      <c r="F61" s="174"/>
      <c r="G61" s="174"/>
    </row>
    <row r="62" spans="2:7" ht="15" customHeight="1" x14ac:dyDescent="0.3">
      <c r="B62" s="93" t="s">
        <v>104</v>
      </c>
      <c r="C62" s="94">
        <f>MAX(0,C58)*0.21</f>
        <v>0.72619467899999957</v>
      </c>
      <c r="D62" s="94">
        <f>MAX(0,D58)*0.21</f>
        <v>0.91910730189996881</v>
      </c>
      <c r="E62" s="94">
        <f>MAX(0,E58)*0.21</f>
        <v>1.1278732476936784</v>
      </c>
      <c r="F62" s="94">
        <f>MAX(0,F58)*0.21</f>
        <v>1.3589102349789595</v>
      </c>
      <c r="G62" s="94">
        <f>MAX(0,G58)*0.21</f>
        <v>1.5103884970623336</v>
      </c>
    </row>
    <row r="63" spans="2:7" ht="15" customHeight="1" x14ac:dyDescent="0.3">
      <c r="B63" s="99" t="s">
        <v>105</v>
      </c>
      <c r="C63" s="100">
        <f>LBO!K49</f>
        <v>0.75915041999999966</v>
      </c>
      <c r="D63" s="100">
        <f>LBO!L49</f>
        <v>1.2422641863832198</v>
      </c>
      <c r="E63" s="100">
        <f>LBO!M49</f>
        <v>1.6064718355757195</v>
      </c>
      <c r="F63" s="100">
        <f>LBO!N49</f>
        <v>2.0578186539440373</v>
      </c>
      <c r="G63" s="100">
        <f>LBO!O49</f>
        <v>2.3651542637164451</v>
      </c>
    </row>
    <row r="64" spans="2:7" ht="15" customHeight="1" x14ac:dyDescent="0.3">
      <c r="B64" s="104" t="s">
        <v>106</v>
      </c>
      <c r="C64" s="105">
        <f>MAX(0,C60)*0.21</f>
        <v>0.52266032699999998</v>
      </c>
      <c r="D64" s="105">
        <f>MAX(0,D60)*0.21</f>
        <v>0.65159541299999979</v>
      </c>
      <c r="E64" s="105">
        <f>MAX(0,E60)*0.21</f>
        <v>0.77430427913999988</v>
      </c>
      <c r="F64" s="105">
        <f>MAX(0,F60)*0.21</f>
        <v>0.89382782782288772</v>
      </c>
      <c r="G64" s="105">
        <f>MAX(0,G60)*0.21</f>
        <v>0.94152931165995946</v>
      </c>
    </row>
    <row r="65" spans="2:7" ht="15" customHeight="1" x14ac:dyDescent="0.3">
      <c r="B65" s="174" t="s">
        <v>154</v>
      </c>
      <c r="C65" s="174"/>
      <c r="D65" s="174"/>
      <c r="E65" s="174"/>
      <c r="F65" s="174"/>
      <c r="G65" s="174"/>
    </row>
    <row r="66" spans="2:7" ht="15" customHeight="1" x14ac:dyDescent="0.3">
      <c r="B66" s="93" t="s">
        <v>104</v>
      </c>
      <c r="C66" s="94">
        <f>C58-C62</f>
        <v>2.7318752209999984</v>
      </c>
      <c r="D66" s="94">
        <f>D58-D62</f>
        <v>3.4575941357189302</v>
      </c>
      <c r="E66" s="94">
        <f>E58-E62</f>
        <v>4.2429517413238376</v>
      </c>
      <c r="F66" s="94">
        <f>F58-F62</f>
        <v>5.1120908839684667</v>
      </c>
      <c r="G66" s="94">
        <f>G58-G62</f>
        <v>5.6819376794249692</v>
      </c>
    </row>
    <row r="67" spans="2:7" ht="15" customHeight="1" x14ac:dyDescent="0.3">
      <c r="B67" s="99" t="s">
        <v>105</v>
      </c>
      <c r="C67" s="100">
        <f>LBO!K52</f>
        <v>2.8558515799999991</v>
      </c>
      <c r="D67" s="100">
        <f>LBO!L52</f>
        <v>4.6732795582987796</v>
      </c>
      <c r="E67" s="100">
        <f>LBO!M52</f>
        <v>6.0433940481181825</v>
      </c>
      <c r="F67" s="100">
        <f>LBO!N52</f>
        <v>7.7413177934085216</v>
      </c>
      <c r="G67" s="100">
        <f>LBO!O52</f>
        <v>8.8974850873142461</v>
      </c>
    </row>
    <row r="68" spans="2:7" ht="15" customHeight="1" x14ac:dyDescent="0.3">
      <c r="B68" s="104" t="s">
        <v>106</v>
      </c>
      <c r="C68" s="105">
        <f>C60-C64</f>
        <v>1.9661983729999997</v>
      </c>
      <c r="D68" s="105">
        <f>D60-D64</f>
        <v>2.451239886999999</v>
      </c>
      <c r="E68" s="105">
        <f>E60-E64</f>
        <v>2.9128589548599999</v>
      </c>
      <c r="F68" s="105">
        <f>F60-F64</f>
        <v>3.3624951618099113</v>
      </c>
      <c r="G68" s="105">
        <f>G60-G64</f>
        <v>3.5419436010065146</v>
      </c>
    </row>
    <row r="69" spans="2:7" ht="6" customHeight="1" x14ac:dyDescent="0.3"/>
    <row r="70" spans="2:7" ht="15" customHeight="1" x14ac:dyDescent="0.3">
      <c r="B70" s="171" t="s">
        <v>155</v>
      </c>
      <c r="C70" s="171"/>
      <c r="D70" s="171"/>
      <c r="E70" s="171"/>
      <c r="F70" s="171"/>
      <c r="G70" s="171"/>
    </row>
    <row r="71" spans="2:7" ht="15" customHeight="1" x14ac:dyDescent="0.3">
      <c r="B71" s="172" t="s">
        <v>156</v>
      </c>
      <c r="C71" s="172"/>
      <c r="D71" s="172"/>
      <c r="E71" s="172"/>
      <c r="F71" s="172"/>
      <c r="G71" s="172"/>
    </row>
    <row r="72" spans="2:7" ht="15" customHeight="1" x14ac:dyDescent="0.3">
      <c r="B72" s="93" t="s">
        <v>104</v>
      </c>
      <c r="C72" s="94">
        <f>C34*C20</f>
        <v>4.8002759999999993</v>
      </c>
      <c r="D72" s="94">
        <f>D34*C21</f>
        <v>4.69688544</v>
      </c>
      <c r="E72" s="94">
        <f>E34*C21</f>
        <v>4.9317297120000001</v>
      </c>
      <c r="F72" s="94">
        <f>F34*C21</f>
        <v>5.1783161976000009</v>
      </c>
      <c r="G72" s="94">
        <f>G34*C21</f>
        <v>5.3854488455040013</v>
      </c>
    </row>
    <row r="73" spans="2:7" ht="15" customHeight="1" x14ac:dyDescent="0.3">
      <c r="B73" s="99" t="s">
        <v>105</v>
      </c>
      <c r="C73" s="100">
        <f>LBO!K63</f>
        <v>4.4925659999999992</v>
      </c>
      <c r="D73" s="100">
        <f>LBO!L63</f>
        <v>4.8968969399999995</v>
      </c>
      <c r="E73" s="100">
        <f>LBO!M63</f>
        <v>5.3376176645999998</v>
      </c>
      <c r="F73" s="100">
        <f>LBO!N63</f>
        <v>5.8713794310600003</v>
      </c>
      <c r="G73" s="100">
        <f>LBO!O63</f>
        <v>6.5172311684766013</v>
      </c>
    </row>
    <row r="74" spans="2:7" ht="15" customHeight="1" x14ac:dyDescent="0.3">
      <c r="B74" s="104" t="s">
        <v>106</v>
      </c>
      <c r="C74" s="105">
        <f>C36*E20</f>
        <v>5.3849249999999991</v>
      </c>
      <c r="D74" s="105">
        <f>D36*E21</f>
        <v>5.5464727499999995</v>
      </c>
      <c r="E74" s="105">
        <f>E36*E21</f>
        <v>5.6574022049999995</v>
      </c>
      <c r="F74" s="105">
        <f>F36*E21</f>
        <v>5.7705502490999994</v>
      </c>
      <c r="G74" s="105">
        <f>G36*E21</f>
        <v>5.8859612540819999</v>
      </c>
    </row>
    <row r="75" spans="2:7" ht="15" customHeight="1" x14ac:dyDescent="0.3">
      <c r="B75" s="172" t="s">
        <v>157</v>
      </c>
      <c r="C75" s="172"/>
      <c r="D75" s="172"/>
      <c r="E75" s="172"/>
      <c r="F75" s="172"/>
      <c r="G75" s="172"/>
    </row>
    <row r="76" spans="2:7" ht="15" customHeight="1" x14ac:dyDescent="0.3">
      <c r="B76" s="93" t="s">
        <v>104</v>
      </c>
      <c r="C76" s="94">
        <f>C34*C22</f>
        <v>1.9201103999999998</v>
      </c>
      <c r="D76" s="94">
        <f>D34*C22</f>
        <v>2.0353170239999998</v>
      </c>
      <c r="E76" s="94">
        <f>E34*C22</f>
        <v>2.1370828752</v>
      </c>
      <c r="F76" s="94">
        <f>F34*C22</f>
        <v>2.2439370189600005</v>
      </c>
      <c r="G76" s="94">
        <f>G34*C22</f>
        <v>2.3336944997184004</v>
      </c>
    </row>
    <row r="77" spans="2:7" ht="15" customHeight="1" x14ac:dyDescent="0.3">
      <c r="B77" s="99" t="s">
        <v>105</v>
      </c>
      <c r="C77" s="100">
        <f>LBO!K59</f>
        <v>1.9467785999999998</v>
      </c>
      <c r="D77" s="100">
        <f>LBO!L59</f>
        <v>2.1219886739999998</v>
      </c>
      <c r="E77" s="100">
        <f>LBO!M59</f>
        <v>2.31296765466</v>
      </c>
      <c r="F77" s="100">
        <f>LBO!N59</f>
        <v>2.5442644201260003</v>
      </c>
      <c r="G77" s="100">
        <f>LBO!O59</f>
        <v>2.8241335063398605</v>
      </c>
    </row>
    <row r="78" spans="2:7" ht="15" customHeight="1" x14ac:dyDescent="0.3">
      <c r="B78" s="104" t="s">
        <v>106</v>
      </c>
      <c r="C78" s="105">
        <f>C36*E22</f>
        <v>2.0103719999999998</v>
      </c>
      <c r="D78" s="105">
        <f>D36*E22</f>
        <v>2.0706831599999997</v>
      </c>
      <c r="E78" s="105">
        <f>E36*E22</f>
        <v>2.1120968231999999</v>
      </c>
      <c r="F78" s="105">
        <f>F36*E22</f>
        <v>2.1543387596639998</v>
      </c>
      <c r="G78" s="105">
        <f>G36*E22</f>
        <v>2.1974255348572802</v>
      </c>
    </row>
    <row r="79" spans="2:7" ht="15" customHeight="1" x14ac:dyDescent="0.3">
      <c r="B79" s="172" t="s">
        <v>158</v>
      </c>
      <c r="C79" s="172"/>
      <c r="D79" s="172"/>
      <c r="E79" s="172"/>
      <c r="F79" s="172"/>
      <c r="G79" s="172"/>
    </row>
    <row r="80" spans="2:7" ht="15" customHeight="1" x14ac:dyDescent="0.3">
      <c r="B80" s="93" t="s">
        <v>104</v>
      </c>
      <c r="C80" s="94">
        <f>C76-$C$29</f>
        <v>0.21061039999999975</v>
      </c>
      <c r="D80" s="94">
        <f>D76-C76</f>
        <v>0.11520662400000004</v>
      </c>
      <c r="E80" s="94">
        <f>E76-D76</f>
        <v>0.10176585120000015</v>
      </c>
      <c r="F80" s="94">
        <f>F76-E76</f>
        <v>0.10685414376000058</v>
      </c>
      <c r="G80" s="94">
        <f>G76-F76</f>
        <v>8.9757480758399844E-2</v>
      </c>
    </row>
    <row r="81" spans="2:7" ht="15" customHeight="1" x14ac:dyDescent="0.3">
      <c r="B81" s="99" t="s">
        <v>105</v>
      </c>
      <c r="C81" s="100">
        <f>LBO!K61</f>
        <v>0.23727859999999978</v>
      </c>
      <c r="D81" s="100">
        <f>LBO!L61</f>
        <v>0.17521007399999999</v>
      </c>
      <c r="E81" s="100">
        <f>LBO!M61</f>
        <v>0.19097898066000019</v>
      </c>
      <c r="F81" s="100">
        <f>LBO!N61</f>
        <v>0.23129676546600031</v>
      </c>
      <c r="G81" s="100">
        <f>LBO!O61</f>
        <v>0.2798690862138602</v>
      </c>
    </row>
    <row r="82" spans="2:7" ht="15" customHeight="1" x14ac:dyDescent="0.3">
      <c r="B82" s="104" t="s">
        <v>106</v>
      </c>
      <c r="C82" s="105">
        <f>C78-$C$29</f>
        <v>0.30087199999999981</v>
      </c>
      <c r="D82" s="105">
        <f>D78-C78</f>
        <v>6.0311159999999919E-2</v>
      </c>
      <c r="E82" s="105">
        <f>E78-D78</f>
        <v>4.1413663200000173E-2</v>
      </c>
      <c r="F82" s="105">
        <f>F78-E78</f>
        <v>4.2241936463999874E-2</v>
      </c>
      <c r="G82" s="105">
        <f>G78-F78</f>
        <v>4.3086775193280413E-2</v>
      </c>
    </row>
    <row r="83" spans="2:7" ht="15" customHeight="1" x14ac:dyDescent="0.3">
      <c r="B83" s="173" t="s">
        <v>159</v>
      </c>
      <c r="C83" s="173"/>
      <c r="D83" s="173"/>
      <c r="E83" s="173"/>
      <c r="F83" s="173"/>
      <c r="G83" s="173"/>
    </row>
    <row r="84" spans="2:7" ht="15" customHeight="1" x14ac:dyDescent="0.3">
      <c r="B84" s="93" t="s">
        <v>104</v>
      </c>
      <c r="C84" s="94">
        <f>C66+C46-C72-C80</f>
        <v>0.87098882099999875</v>
      </c>
      <c r="D84" s="94">
        <f>D66+D46-D72-D80</f>
        <v>2.0455020717189303</v>
      </c>
      <c r="E84" s="94">
        <f>E66+E46-E72-E80</f>
        <v>2.8594561781238377</v>
      </c>
      <c r="F84" s="94">
        <f>F66+F46-F72-F80</f>
        <v>3.7069205426084642</v>
      </c>
      <c r="G84" s="94">
        <f>G66+G46-G72-G80</f>
        <v>4.2419313531625678</v>
      </c>
    </row>
    <row r="85" spans="2:7" ht="15" customHeight="1" x14ac:dyDescent="0.3">
      <c r="B85" s="99" t="s">
        <v>105</v>
      </c>
      <c r="C85" s="100">
        <f>LBO!K71</f>
        <v>1.27600698</v>
      </c>
      <c r="D85" s="100">
        <f>LBO!L71</f>
        <v>3.0011725442987798</v>
      </c>
      <c r="E85" s="100">
        <f>LBO!M71</f>
        <v>4.1647974028581825</v>
      </c>
      <c r="F85" s="100">
        <f>LBO!N71</f>
        <v>5.5186415968825218</v>
      </c>
      <c r="G85" s="100">
        <f>LBO!O71</f>
        <v>6.1355848326237847</v>
      </c>
    </row>
    <row r="86" spans="2:7" ht="15" customHeight="1" x14ac:dyDescent="0.3">
      <c r="B86" s="104" t="s">
        <v>106</v>
      </c>
      <c r="C86" s="105">
        <f>C68+C48-C74-C82</f>
        <v>-0.84763862700000003</v>
      </c>
      <c r="D86" s="105">
        <f>D68+D48-D74-D82</f>
        <v>-0.19742522300000021</v>
      </c>
      <c r="E86" s="105">
        <f>E68+E48-E74-E82</f>
        <v>0.23132426266000028</v>
      </c>
      <c r="F86" s="105">
        <f>F68+F48-F74-F82</f>
        <v>0.62732977576591198</v>
      </c>
      <c r="G86" s="105">
        <f>G68+G48-G74-G82</f>
        <v>0.75207490724163373</v>
      </c>
    </row>
    <row r="87" spans="2:7" ht="6" customHeight="1" x14ac:dyDescent="0.3"/>
    <row r="88" spans="2:7" ht="15" customHeight="1" x14ac:dyDescent="0.3">
      <c r="B88" s="171" t="s">
        <v>160</v>
      </c>
      <c r="C88" s="171"/>
      <c r="D88" s="171"/>
      <c r="E88" s="171"/>
      <c r="F88" s="171"/>
      <c r="G88" s="171"/>
    </row>
    <row r="89" spans="2:7" ht="15" customHeight="1" x14ac:dyDescent="0.3">
      <c r="B89" s="172" t="s">
        <v>161</v>
      </c>
      <c r="C89" s="172"/>
      <c r="D89" s="172"/>
      <c r="E89" s="172"/>
      <c r="F89" s="172"/>
      <c r="G89" s="172"/>
    </row>
    <row r="90" spans="2:7" ht="15" customHeight="1" x14ac:dyDescent="0.3">
      <c r="B90" s="93" t="s">
        <v>104</v>
      </c>
      <c r="C90" s="94">
        <f>$C$27</f>
        <v>57.6295</v>
      </c>
      <c r="D90" s="94">
        <f>MAX(0,C90-MAX(0,C84))</f>
        <v>56.758511179000003</v>
      </c>
      <c r="E90" s="94">
        <f>MAX(0,D90-MAX(0,D84))</f>
        <v>54.713009107281074</v>
      </c>
      <c r="F90" s="94">
        <f>MAX(0,E90-MAX(0,E84))</f>
        <v>51.853552929157239</v>
      </c>
      <c r="G90" s="94">
        <f>MAX(0,F90-MAX(0,F84))</f>
        <v>48.146632386548774</v>
      </c>
    </row>
    <row r="91" spans="2:7" ht="15" customHeight="1" x14ac:dyDescent="0.3">
      <c r="B91" s="99" t="s">
        <v>105</v>
      </c>
      <c r="C91" s="100">
        <f>LBO!K84</f>
        <v>57.6295</v>
      </c>
      <c r="D91" s="100">
        <f>LBO!L84</f>
        <v>56.353493020000002</v>
      </c>
      <c r="E91" s="100">
        <f>LBO!M84</f>
        <v>53.352320475701219</v>
      </c>
      <c r="F91" s="100">
        <f>LBO!N84</f>
        <v>49.187523072843035</v>
      </c>
      <c r="G91" s="100">
        <f>LBO!O84</f>
        <v>43.668881475960511</v>
      </c>
    </row>
    <row r="92" spans="2:7" ht="15" customHeight="1" x14ac:dyDescent="0.3">
      <c r="B92" s="104" t="s">
        <v>106</v>
      </c>
      <c r="C92" s="105">
        <f>$C$27</f>
        <v>57.6295</v>
      </c>
      <c r="D92" s="105">
        <f>MAX(0,C92-MAX(0,C86))</f>
        <v>57.6295</v>
      </c>
      <c r="E92" s="105">
        <f>MAX(0,D92-MAX(0,D86))</f>
        <v>57.6295</v>
      </c>
      <c r="F92" s="105">
        <f>MAX(0,E92-MAX(0,E86))</f>
        <v>57.398175737339997</v>
      </c>
      <c r="G92" s="105">
        <f>MAX(0,F92-MAX(0,F86))</f>
        <v>56.770845961574082</v>
      </c>
    </row>
    <row r="93" spans="2:7" ht="15" customHeight="1" x14ac:dyDescent="0.3">
      <c r="B93" s="172" t="s">
        <v>162</v>
      </c>
      <c r="C93" s="172"/>
      <c r="D93" s="172"/>
      <c r="E93" s="172"/>
      <c r="F93" s="172"/>
      <c r="G93" s="172"/>
    </row>
    <row r="94" spans="2:7" ht="15" customHeight="1" x14ac:dyDescent="0.3">
      <c r="B94" s="93" t="s">
        <v>104</v>
      </c>
      <c r="C94" s="94">
        <f>MIN(C90,MAX(0,C84))</f>
        <v>0.87098882099999875</v>
      </c>
      <c r="D94" s="94">
        <f>MIN(D90,MAX(0,D84))</f>
        <v>2.0455020717189303</v>
      </c>
      <c r="E94" s="94">
        <f>MIN(E90,MAX(0,E84))</f>
        <v>2.8594561781238377</v>
      </c>
      <c r="F94" s="94">
        <f>MIN(F90,MAX(0,F84))</f>
        <v>3.7069205426084642</v>
      </c>
      <c r="G94" s="94">
        <f>MIN(G90,MAX(0,G84))</f>
        <v>4.2419313531625678</v>
      </c>
    </row>
    <row r="95" spans="2:7" ht="15" customHeight="1" x14ac:dyDescent="0.3">
      <c r="B95" s="99" t="s">
        <v>105</v>
      </c>
      <c r="C95" s="100">
        <f>LBO!K86</f>
        <v>1.27600698</v>
      </c>
      <c r="D95" s="100">
        <f>LBO!L86</f>
        <v>3.0011725442987798</v>
      </c>
      <c r="E95" s="100">
        <f>LBO!M86</f>
        <v>4.1647974028581825</v>
      </c>
      <c r="F95" s="100">
        <f>LBO!N86</f>
        <v>5.5186415968825218</v>
      </c>
      <c r="G95" s="100">
        <f>LBO!O86</f>
        <v>6.1355848326237847</v>
      </c>
    </row>
    <row r="96" spans="2:7" ht="15" customHeight="1" x14ac:dyDescent="0.3">
      <c r="B96" s="104" t="s">
        <v>106</v>
      </c>
      <c r="C96" s="105">
        <f>MIN(C92,MAX(0,C86))</f>
        <v>0</v>
      </c>
      <c r="D96" s="105">
        <f>MIN(D92,MAX(0,D86))</f>
        <v>0</v>
      </c>
      <c r="E96" s="105">
        <f>MIN(E92,MAX(0,E86))</f>
        <v>0.23132426266000028</v>
      </c>
      <c r="F96" s="105">
        <f>MIN(F92,MAX(0,F86))</f>
        <v>0.62732977576591198</v>
      </c>
      <c r="G96" s="105">
        <f>MIN(G92,MAX(0,G86))</f>
        <v>0.75207490724163373</v>
      </c>
    </row>
    <row r="97" spans="2:12" ht="15" customHeight="1" x14ac:dyDescent="0.3">
      <c r="B97" s="172" t="s">
        <v>163</v>
      </c>
      <c r="C97" s="172"/>
      <c r="D97" s="172"/>
      <c r="E97" s="172"/>
      <c r="F97" s="172"/>
      <c r="G97" s="172"/>
    </row>
    <row r="98" spans="2:12" ht="15" customHeight="1" x14ac:dyDescent="0.3">
      <c r="B98" s="93" t="s">
        <v>104</v>
      </c>
      <c r="C98" s="94">
        <f>MAX(0,C90-C94)</f>
        <v>56.758511179000003</v>
      </c>
      <c r="D98" s="94">
        <f>MAX(0,D90-D94)</f>
        <v>54.713009107281074</v>
      </c>
      <c r="E98" s="94">
        <f>MAX(0,E90-E94)</f>
        <v>51.853552929157239</v>
      </c>
      <c r="F98" s="94">
        <f>MAX(0,F90-F94)</f>
        <v>48.146632386548774</v>
      </c>
      <c r="G98" s="94">
        <f>MAX(0,G90-G94)</f>
        <v>43.904701033386203</v>
      </c>
    </row>
    <row r="99" spans="2:12" ht="15" customHeight="1" x14ac:dyDescent="0.3">
      <c r="B99" s="99" t="s">
        <v>105</v>
      </c>
      <c r="C99" s="100">
        <f>LBO!K87</f>
        <v>56.353493020000002</v>
      </c>
      <c r="D99" s="100">
        <f>LBO!L87</f>
        <v>53.352320475701219</v>
      </c>
      <c r="E99" s="100">
        <f>LBO!M87</f>
        <v>49.187523072843035</v>
      </c>
      <c r="F99" s="100">
        <f>LBO!N87</f>
        <v>43.668881475960511</v>
      </c>
      <c r="G99" s="100">
        <f>LBO!O87</f>
        <v>37.533296643336726</v>
      </c>
    </row>
    <row r="100" spans="2:12" ht="15" customHeight="1" x14ac:dyDescent="0.3">
      <c r="B100" s="104" t="s">
        <v>106</v>
      </c>
      <c r="C100" s="105">
        <f>MAX(0,C92-C96)</f>
        <v>57.6295</v>
      </c>
      <c r="D100" s="105">
        <f>MAX(0,D92-D96)</f>
        <v>57.6295</v>
      </c>
      <c r="E100" s="105">
        <f>MAX(0,E92-E96)</f>
        <v>57.398175737339997</v>
      </c>
      <c r="F100" s="105">
        <f>MAX(0,F92-F96)</f>
        <v>56.770845961574082</v>
      </c>
      <c r="G100" s="105">
        <f>MAX(0,G92-G96)</f>
        <v>56.018771054332447</v>
      </c>
    </row>
    <row r="101" spans="2:12" ht="6" customHeight="1" x14ac:dyDescent="0.3"/>
    <row r="102" spans="2:12" ht="15" customHeight="1" x14ac:dyDescent="0.3">
      <c r="B102" s="171" t="s">
        <v>164</v>
      </c>
      <c r="C102" s="171"/>
      <c r="D102" s="171"/>
      <c r="E102" s="171"/>
      <c r="F102" s="171"/>
      <c r="G102" s="171"/>
    </row>
    <row r="103" spans="2:12" ht="15" customHeight="1" x14ac:dyDescent="0.3">
      <c r="B103" s="172" t="s">
        <v>165</v>
      </c>
      <c r="C103" s="172"/>
      <c r="D103" s="172"/>
      <c r="E103" s="172"/>
      <c r="F103" s="172"/>
      <c r="G103" s="172"/>
    </row>
    <row r="104" spans="2:12" ht="15" customHeight="1" x14ac:dyDescent="0.3">
      <c r="B104" s="93" t="s">
        <v>104</v>
      </c>
      <c r="C104" s="118">
        <f t="shared" ref="C104:G106" si="4">IFERROR(C98/C38,0)</f>
        <v>5.0232722002948345</v>
      </c>
      <c r="D104" s="118">
        <f t="shared" si="4"/>
        <v>4.4235892766539573</v>
      </c>
      <c r="E104" s="118">
        <f t="shared" si="4"/>
        <v>3.8702845678651805</v>
      </c>
      <c r="F104" s="118">
        <f t="shared" si="4"/>
        <v>3.3206210660346183</v>
      </c>
      <c r="G104" s="118">
        <f t="shared" si="4"/>
        <v>2.9115958240244044</v>
      </c>
    </row>
    <row r="105" spans="2:12" ht="15" customHeight="1" x14ac:dyDescent="0.3">
      <c r="B105" s="99" t="s">
        <v>105</v>
      </c>
      <c r="C105" s="119">
        <f t="shared" si="4"/>
        <v>4.9191061472332258</v>
      </c>
      <c r="D105" s="119">
        <f t="shared" si="4"/>
        <v>3.8453394030648811</v>
      </c>
      <c r="E105" s="119">
        <f t="shared" si="4"/>
        <v>3.1595169764259543</v>
      </c>
      <c r="F105" s="119">
        <f t="shared" si="4"/>
        <v>2.4791948802212262</v>
      </c>
      <c r="G105" s="119">
        <f t="shared" si="4"/>
        <v>1.9973709661507844</v>
      </c>
    </row>
    <row r="106" spans="2:12" ht="15" customHeight="1" x14ac:dyDescent="0.3">
      <c r="B106" s="104" t="s">
        <v>106</v>
      </c>
      <c r="C106" s="120">
        <f t="shared" si="4"/>
        <v>5.7332175338693538</v>
      </c>
      <c r="D106" s="120">
        <f t="shared" si="4"/>
        <v>5.3742916286689635</v>
      </c>
      <c r="E106" s="120">
        <f t="shared" si="4"/>
        <v>5.0728385270726921</v>
      </c>
      <c r="F106" s="120">
        <f t="shared" si="4"/>
        <v>4.7603370543804733</v>
      </c>
      <c r="G106" s="120">
        <f t="shared" si="4"/>
        <v>4.6051708109657463</v>
      </c>
    </row>
    <row r="107" spans="2:12" ht="15" customHeight="1" x14ac:dyDescent="0.3">
      <c r="B107" s="172" t="s">
        <v>166</v>
      </c>
      <c r="C107" s="172"/>
      <c r="D107" s="172"/>
      <c r="E107" s="172"/>
      <c r="F107" s="172"/>
      <c r="G107" s="172"/>
    </row>
    <row r="108" spans="2:12" ht="15" customHeight="1" x14ac:dyDescent="0.3">
      <c r="B108" s="93" t="s">
        <v>104</v>
      </c>
      <c r="C108" s="118">
        <f t="shared" ref="C108:G110" si="5">IFERROR(C38/C54,0)</f>
        <v>2.4086573699532337</v>
      </c>
      <c r="D108" s="118">
        <f t="shared" si="5"/>
        <v>2.6936197488215572</v>
      </c>
      <c r="E108" s="118">
        <f t="shared" si="5"/>
        <v>3.0609415238269739</v>
      </c>
      <c r="F108" s="118">
        <f t="shared" si="5"/>
        <v>3.4952487665331846</v>
      </c>
      <c r="G108" s="118">
        <f t="shared" si="5"/>
        <v>3.9149302920986981</v>
      </c>
    </row>
    <row r="109" spans="2:12" ht="15" customHeight="1" x14ac:dyDescent="0.3">
      <c r="B109" s="99" t="s">
        <v>105</v>
      </c>
      <c r="C109" s="119">
        <f t="shared" si="5"/>
        <v>2.4421109445359175</v>
      </c>
      <c r="D109" s="119">
        <f t="shared" si="5"/>
        <v>3.0433315811971897</v>
      </c>
      <c r="E109" s="119">
        <f t="shared" si="5"/>
        <v>3.6474635458546536</v>
      </c>
      <c r="F109" s="119">
        <f t="shared" si="5"/>
        <v>4.4762719264941389</v>
      </c>
      <c r="G109" s="119">
        <f t="shared" si="5"/>
        <v>5.3789303830268897</v>
      </c>
    </row>
    <row r="110" spans="2:12" ht="15" customHeight="1" x14ac:dyDescent="0.3">
      <c r="B110" s="104" t="s">
        <v>106</v>
      </c>
      <c r="C110" s="120">
        <f t="shared" si="5"/>
        <v>2.1427779798058908</v>
      </c>
      <c r="D110" s="120">
        <f t="shared" si="5"/>
        <v>2.3000127803742183</v>
      </c>
      <c r="E110" s="120">
        <f t="shared" si="5"/>
        <v>2.4542127751412033</v>
      </c>
      <c r="F110" s="120">
        <f t="shared" si="5"/>
        <v>2.5971652615567686</v>
      </c>
      <c r="G110" s="120">
        <f t="shared" si="5"/>
        <v>2.6783817730442894</v>
      </c>
    </row>
    <row r="111" spans="2:12" ht="7.5" customHeight="1" x14ac:dyDescent="0.3"/>
    <row r="112" spans="2:12" ht="21.75" customHeight="1" x14ac:dyDescent="0.3">
      <c r="B112" s="169" t="s">
        <v>167</v>
      </c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</row>
    <row r="113" spans="2:8" ht="18" customHeight="1" x14ac:dyDescent="0.3">
      <c r="B113" s="82" t="s">
        <v>168</v>
      </c>
      <c r="C113" s="82" t="s">
        <v>105</v>
      </c>
      <c r="D113" s="82" t="s">
        <v>197</v>
      </c>
      <c r="E113" s="82" t="s">
        <v>106</v>
      </c>
    </row>
    <row r="114" spans="2:8" ht="15.75" customHeight="1" x14ac:dyDescent="0.3">
      <c r="B114" s="83" t="s">
        <v>135</v>
      </c>
      <c r="C114" s="94">
        <f>G38</f>
        <v>15.079256767411204</v>
      </c>
      <c r="D114" s="121">
        <f>G39</f>
        <v>18.791349869107531</v>
      </c>
      <c r="E114" s="105">
        <f>G40</f>
        <v>12.1643199251028</v>
      </c>
    </row>
    <row r="115" spans="2:8" ht="15.75" customHeight="1" x14ac:dyDescent="0.3">
      <c r="B115" s="83" t="s">
        <v>169</v>
      </c>
      <c r="C115" s="118">
        <f>C23</f>
        <v>8.5</v>
      </c>
      <c r="D115" s="119">
        <f>D23</f>
        <v>8.5</v>
      </c>
      <c r="E115" s="120">
        <f>E23</f>
        <v>8.5</v>
      </c>
    </row>
    <row r="116" spans="2:8" ht="15.75" customHeight="1" x14ac:dyDescent="0.3">
      <c r="B116" s="83" t="s">
        <v>170</v>
      </c>
      <c r="C116" s="94">
        <f>C114*C115</f>
        <v>128.17368252299522</v>
      </c>
      <c r="D116" s="121">
        <f>D114*D115</f>
        <v>159.72647388741402</v>
      </c>
      <c r="E116" s="105">
        <f>E114*E115</f>
        <v>103.3967193633738</v>
      </c>
    </row>
    <row r="117" spans="2:8" ht="15.75" customHeight="1" x14ac:dyDescent="0.3">
      <c r="B117" s="83" t="s">
        <v>138</v>
      </c>
      <c r="C117" s="94">
        <f>G98</f>
        <v>43.904701033386203</v>
      </c>
      <c r="D117" s="121">
        <f>G99</f>
        <v>37.533296643336726</v>
      </c>
      <c r="E117" s="105">
        <f>G100</f>
        <v>56.018771054332447</v>
      </c>
    </row>
    <row r="118" spans="2:8" ht="15.75" customHeight="1" x14ac:dyDescent="0.3">
      <c r="B118" s="83" t="s">
        <v>171</v>
      </c>
      <c r="C118" s="94">
        <f>C116-C117</f>
        <v>84.268981489609018</v>
      </c>
      <c r="D118" s="121">
        <f>D116-D117</f>
        <v>122.19317724407729</v>
      </c>
      <c r="E118" s="105">
        <f>E116-E117</f>
        <v>47.377948309041358</v>
      </c>
    </row>
    <row r="119" spans="2:8" ht="15.75" customHeight="1" x14ac:dyDescent="0.3">
      <c r="B119" s="83" t="s">
        <v>142</v>
      </c>
      <c r="C119" s="122">
        <f ca="1">C118/$C$28</f>
        <v>1.5316817720257856</v>
      </c>
      <c r="D119" s="123">
        <f ca="1">D118/$C$28</f>
        <v>2.2209958983988378</v>
      </c>
      <c r="E119" s="124">
        <f ca="1">E118/$C$28</f>
        <v>0.86114651605094683</v>
      </c>
    </row>
    <row r="120" spans="2:8" ht="15" customHeight="1" x14ac:dyDescent="0.3">
      <c r="B120" s="125" t="s">
        <v>172</v>
      </c>
      <c r="C120" s="126">
        <v>46022</v>
      </c>
      <c r="D120" s="126">
        <v>46387</v>
      </c>
      <c r="E120" s="126">
        <v>46752</v>
      </c>
      <c r="F120" s="126">
        <v>47118</v>
      </c>
      <c r="G120" s="126">
        <v>47483</v>
      </c>
      <c r="H120" s="126">
        <v>47848</v>
      </c>
    </row>
    <row r="121" spans="2:8" ht="15" customHeight="1" x14ac:dyDescent="0.3">
      <c r="B121" s="93" t="s">
        <v>104</v>
      </c>
      <c r="C121" s="127">
        <f ca="1">-LBO!E27</f>
        <v>-55.017290816326543</v>
      </c>
      <c r="D121" s="128">
        <v>0</v>
      </c>
      <c r="E121" s="128">
        <v>0</v>
      </c>
      <c r="F121" s="128">
        <v>0</v>
      </c>
      <c r="G121" s="128">
        <v>0</v>
      </c>
      <c r="H121" s="128">
        <f>C118</f>
        <v>84.268981489609018</v>
      </c>
    </row>
    <row r="122" spans="2:8" ht="15" customHeight="1" x14ac:dyDescent="0.3">
      <c r="B122" s="99" t="s">
        <v>105</v>
      </c>
      <c r="C122" s="129">
        <f ca="1">-LBO!E27</f>
        <v>-55.017290816326543</v>
      </c>
      <c r="D122" s="130">
        <v>0</v>
      </c>
      <c r="E122" s="130">
        <v>0</v>
      </c>
      <c r="F122" s="130">
        <v>0</v>
      </c>
      <c r="G122" s="130">
        <v>0</v>
      </c>
      <c r="H122" s="130">
        <f>D118</f>
        <v>122.19317724407729</v>
      </c>
    </row>
    <row r="123" spans="2:8" ht="15" customHeight="1" x14ac:dyDescent="0.3">
      <c r="B123" s="104" t="s">
        <v>106</v>
      </c>
      <c r="C123" s="131">
        <f ca="1">-LBO!E27</f>
        <v>-55.017290816326543</v>
      </c>
      <c r="D123" s="132">
        <v>0</v>
      </c>
      <c r="E123" s="132">
        <v>0</v>
      </c>
      <c r="F123" s="132">
        <v>0</v>
      </c>
      <c r="G123" s="132">
        <v>0</v>
      </c>
      <c r="H123" s="132">
        <f>E118</f>
        <v>47.377948309041358</v>
      </c>
    </row>
    <row r="124" spans="2:8" ht="15.75" customHeight="1" x14ac:dyDescent="0.3">
      <c r="B124" s="83" t="s">
        <v>173</v>
      </c>
      <c r="C124" s="133">
        <f ca="1">XIRR(C121:H121,C120:H120)</f>
        <v>8.8963761925697341E-2</v>
      </c>
      <c r="D124" s="134">
        <f ca="1">LBO!J109</f>
        <v>0.222617095708847</v>
      </c>
      <c r="E124" s="135">
        <f ca="1">XIRR(C123:H123,C120:H120)</f>
        <v>-2.943970263004303E-2</v>
      </c>
      <c r="F124" s="168" t="s">
        <v>174</v>
      </c>
      <c r="G124" s="168"/>
      <c r="H124" s="168"/>
    </row>
    <row r="125" spans="2:8" ht="15.75" customHeight="1" x14ac:dyDescent="0.3">
      <c r="B125" s="83" t="s">
        <v>175</v>
      </c>
      <c r="C125" s="111">
        <f>LBO!J120</f>
        <v>8.0563456515547527E-2</v>
      </c>
      <c r="D125" s="115">
        <f>LBO!J120</f>
        <v>8.0563456515547527E-2</v>
      </c>
      <c r="E125" s="116">
        <f>LBO!J120</f>
        <v>8.0563456515547527E-2</v>
      </c>
      <c r="F125" s="168" t="s">
        <v>176</v>
      </c>
      <c r="G125" s="168"/>
      <c r="H125" s="168"/>
    </row>
    <row r="126" spans="2:8" ht="15.75" customHeight="1" x14ac:dyDescent="0.3">
      <c r="B126" s="83" t="s">
        <v>177</v>
      </c>
      <c r="C126" s="118">
        <f>LBO!E25 / LBO!E7</f>
        <v>5</v>
      </c>
      <c r="D126" s="118">
        <f>LBO!E25 / LBO!E7</f>
        <v>5</v>
      </c>
      <c r="E126" s="118">
        <f>LBO!E25 / LBO!E7</f>
        <v>5</v>
      </c>
    </row>
    <row r="127" spans="2:8" ht="15.75" customHeight="1" x14ac:dyDescent="0.3">
      <c r="B127" s="83" t="s">
        <v>178</v>
      </c>
      <c r="C127" s="118">
        <f>IFERROR(G98/G38,0)</f>
        <v>2.9115958240244044</v>
      </c>
      <c r="D127" s="119">
        <f>IFERROR(G99/G39,0)</f>
        <v>1.9973709661507844</v>
      </c>
      <c r="E127" s="120">
        <f>IFERROR(G100/G40,0)</f>
        <v>4.6051708109657463</v>
      </c>
    </row>
    <row r="128" spans="2:8" ht="15.75" customHeight="1" x14ac:dyDescent="0.3">
      <c r="B128" s="83" t="s">
        <v>179</v>
      </c>
      <c r="C128" s="118">
        <f>IFERROR(G38/G54,0)</f>
        <v>3.9149302920986981</v>
      </c>
      <c r="D128" s="119">
        <f>IFERROR(G39/G55,0)</f>
        <v>5.3789303830268897</v>
      </c>
      <c r="E128" s="120">
        <f>IFERROR(G40/G56,0)</f>
        <v>2.6783817730442894</v>
      </c>
      <c r="F128" s="168" t="s">
        <v>180</v>
      </c>
      <c r="G128" s="168"/>
      <c r="H128" s="168"/>
    </row>
    <row r="129" spans="2:12" ht="7.5" customHeight="1" x14ac:dyDescent="0.3"/>
    <row r="130" spans="2:12" ht="21.75" customHeight="1" x14ac:dyDescent="0.3">
      <c r="B130" s="169" t="s">
        <v>181</v>
      </c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</row>
    <row r="131" spans="2:12" ht="18" customHeight="1" x14ac:dyDescent="0.3">
      <c r="B131" s="82" t="s">
        <v>168</v>
      </c>
      <c r="C131" s="82" t="s">
        <v>182</v>
      </c>
      <c r="D131" s="82" t="s">
        <v>183</v>
      </c>
      <c r="E131" s="82" t="s">
        <v>184</v>
      </c>
      <c r="F131" s="82" t="s">
        <v>185</v>
      </c>
      <c r="G131" s="82" t="s">
        <v>186</v>
      </c>
    </row>
    <row r="132" spans="2:12" ht="15.75" customHeight="1" x14ac:dyDescent="0.3">
      <c r="B132" s="83" t="s">
        <v>187</v>
      </c>
      <c r="C132" s="136">
        <f>CHOOSE(MATCH($C$6,{"Management","UPSIDE","Downside"},0),C34,C35,C36)</f>
        <v>74.876099999999994</v>
      </c>
      <c r="D132" s="136">
        <f>CHOOSE(MATCH($C$6,{"Management","UPSIDE","Downside"},0),D34,D35,D36)</f>
        <v>81.614948999999996</v>
      </c>
      <c r="E132" s="136">
        <f>CHOOSE(MATCH($C$6,{"Management","UPSIDE","Downside"},0),E34,E35,E36)</f>
        <v>88.960294410000003</v>
      </c>
      <c r="F132" s="136">
        <f>CHOOSE(MATCH($C$6,{"Management","UPSIDE","Downside"},0),F34,F35,F36)</f>
        <v>97.856323851000013</v>
      </c>
      <c r="G132" s="136">
        <f>CHOOSE(MATCH($C$6,{"Management","UPSIDE","Downside"},0),G34,G35,G36)</f>
        <v>108.62051947461002</v>
      </c>
    </row>
    <row r="133" spans="2:12" ht="15.75" customHeight="1" x14ac:dyDescent="0.3">
      <c r="B133" s="83" t="s">
        <v>188</v>
      </c>
      <c r="C133" s="136">
        <f>CHOOSE(MATCH($C$6,{"Management","UPSIDE","Downside"},0),C38,C39,C40)</f>
        <v>11.456043299999999</v>
      </c>
      <c r="D133" s="136">
        <f>CHOOSE(MATCH($C$6,{"Management","UPSIDE","Downside"},0),D38,D39,D40)</f>
        <v>13.87454133</v>
      </c>
      <c r="E133" s="136">
        <f>CHOOSE(MATCH($C$6,{"Management","UPSIDE","Downside"},0),E38,E39,E40)</f>
        <v>15.56805152175</v>
      </c>
      <c r="F133" s="136">
        <f>CHOOSE(MATCH($C$6,{"Management","UPSIDE","Downside"},0),F38,F39,F40)</f>
        <v>17.614138293180002</v>
      </c>
      <c r="G133" s="136">
        <f>CHOOSE(MATCH($C$6,{"Management","UPSIDE","Downside"},0),G38,G39,G40)</f>
        <v>18.791349869107531</v>
      </c>
    </row>
    <row r="134" spans="2:12" ht="15.75" customHeight="1" x14ac:dyDescent="0.3">
      <c r="B134" s="83" t="s">
        <v>189</v>
      </c>
      <c r="C134" s="137">
        <f>CHOOSE(MATCH($C$6,{"Management","UPSIDE","Downside"},0),C42,C43,C44)</f>
        <v>0.153</v>
      </c>
      <c r="D134" s="137">
        <f>CHOOSE(MATCH($C$6,{"Management","UPSIDE","Downside"},0),D42,D43,D44)</f>
        <v>0.17</v>
      </c>
      <c r="E134" s="137">
        <f>CHOOSE(MATCH($C$6,{"Management","UPSIDE","Downside"},0),E42,E43,E44)</f>
        <v>0.17499999999999999</v>
      </c>
      <c r="F134" s="137">
        <f>CHOOSE(MATCH($C$6,{"Management","UPSIDE","Downside"},0),F42,F43,F44)</f>
        <v>0.18</v>
      </c>
      <c r="G134" s="137">
        <f>CHOOSE(MATCH($C$6,{"Management","UPSIDE","Downside"},0),G42,G43,G44)</f>
        <v>0.17299999999999999</v>
      </c>
    </row>
    <row r="135" spans="2:12" ht="15.75" customHeight="1" x14ac:dyDescent="0.3">
      <c r="B135" s="83" t="s">
        <v>190</v>
      </c>
      <c r="C135" s="136">
        <f>CHOOSE(MATCH($C$6,{"Management","UPSIDE","Downside"},0),C46,C47,C48)</f>
        <v>3.15</v>
      </c>
      <c r="D135" s="136">
        <f>CHOOSE(MATCH($C$6,{"Management","UPSIDE","Downside"},0),D46,D47,D48)</f>
        <v>3.4</v>
      </c>
      <c r="E135" s="136">
        <f>CHOOSE(MATCH($C$6,{"Management","UPSIDE","Downside"},0),E46,E47,E48)</f>
        <v>3.65</v>
      </c>
      <c r="F135" s="136">
        <f>CHOOSE(MATCH($C$6,{"Management","UPSIDE","Downside"},0),F46,F47,F48)</f>
        <v>3.88</v>
      </c>
      <c r="G135" s="136">
        <f>CHOOSE(MATCH($C$6,{"Management","UPSIDE","Downside"},0),G46,G47,G48)</f>
        <v>4.0351999999999997</v>
      </c>
    </row>
    <row r="136" spans="2:12" ht="15.75" customHeight="1" x14ac:dyDescent="0.3">
      <c r="B136" s="83" t="s">
        <v>191</v>
      </c>
      <c r="C136" s="136">
        <f>CHOOSE(MATCH($C$6,{"Management","UPSIDE","Downside"},0),C72,C73,C74)</f>
        <v>4.4925659999999992</v>
      </c>
      <c r="D136" s="136">
        <f>CHOOSE(MATCH($C$6,{"Management","UPSIDE","Downside"},0),D72,D73,D74)</f>
        <v>4.8968969399999995</v>
      </c>
      <c r="E136" s="136">
        <f>CHOOSE(MATCH($C$6,{"Management","UPSIDE","Downside"},0),E72,E73,E74)</f>
        <v>5.3376176645999998</v>
      </c>
      <c r="F136" s="136">
        <f>CHOOSE(MATCH($C$6,{"Management","UPSIDE","Downside"},0),F72,F73,F74)</f>
        <v>5.8713794310600003</v>
      </c>
      <c r="G136" s="136">
        <f>CHOOSE(MATCH($C$6,{"Management","UPSIDE","Downside"},0),G72,G73,G74)</f>
        <v>6.5172311684766013</v>
      </c>
    </row>
    <row r="137" spans="2:12" ht="15.75" customHeight="1" x14ac:dyDescent="0.3">
      <c r="B137" s="83" t="s">
        <v>77</v>
      </c>
      <c r="C137" s="136">
        <f>CHOOSE(MATCH($C$6,{"Management","UPSIDE","Downside"},0),C80,C81,C82)</f>
        <v>0.23727859999999978</v>
      </c>
      <c r="D137" s="136">
        <f>CHOOSE(MATCH($C$6,{"Management","UPSIDE","Downside"},0),D80,D81,D82)</f>
        <v>0.17521007399999999</v>
      </c>
      <c r="E137" s="136">
        <f>CHOOSE(MATCH($C$6,{"Management","UPSIDE","Downside"},0),E80,E81,E82)</f>
        <v>0.19097898066000019</v>
      </c>
      <c r="F137" s="136">
        <f>CHOOSE(MATCH($C$6,{"Management","UPSIDE","Downside"},0),F80,F81,F82)</f>
        <v>0.23129676546600031</v>
      </c>
      <c r="G137" s="136">
        <f>CHOOSE(MATCH($C$6,{"Management","UPSIDE","Downside"},0),G80,G81,G82)</f>
        <v>0.2798690862138602</v>
      </c>
    </row>
    <row r="138" spans="2:12" ht="15.75" customHeight="1" x14ac:dyDescent="0.3">
      <c r="B138" s="83" t="s">
        <v>192</v>
      </c>
      <c r="C138" s="136">
        <f>CHOOSE(MATCH($C$6,{"Management","UPSIDE","Downside"},0),C54,C55,C56)</f>
        <v>4.6910413000000002</v>
      </c>
      <c r="D138" s="136">
        <f>CHOOSE(MATCH($C$6,{"Management","UPSIDE","Downside"},0),D54,D55,D56)</f>
        <v>4.558997585318</v>
      </c>
      <c r="E138" s="136">
        <f>CHOOSE(MATCH($C$6,{"Management","UPSIDE","Downside"},0),E54,E55,E56)</f>
        <v>4.2681856380560976</v>
      </c>
      <c r="F138" s="136">
        <f>CHOOSE(MATCH($C$6,{"Management","UPSIDE","Downside"},0),F54,F55,F56)</f>
        <v>3.9350018458274429</v>
      </c>
      <c r="G138" s="136">
        <f>CHOOSE(MATCH($C$6,{"Management","UPSIDE","Downside"},0),G54,G55,G56)</f>
        <v>3.4935105180768411</v>
      </c>
    </row>
    <row r="139" spans="2:12" ht="15.75" customHeight="1" x14ac:dyDescent="0.3">
      <c r="B139" s="83" t="s">
        <v>193</v>
      </c>
      <c r="C139" s="136">
        <f>CHOOSE(MATCH($C$6,{"Management","UPSIDE","Downside"},0),C66,C67,C68)</f>
        <v>2.8558515799999991</v>
      </c>
      <c r="D139" s="136">
        <f>CHOOSE(MATCH($C$6,{"Management","UPSIDE","Downside"},0),D66,D67,D68)</f>
        <v>4.6732795582987796</v>
      </c>
      <c r="E139" s="136">
        <f>CHOOSE(MATCH($C$6,{"Management","UPSIDE","Downside"},0),E66,E67,E68)</f>
        <v>6.0433940481181825</v>
      </c>
      <c r="F139" s="136">
        <f>CHOOSE(MATCH($C$6,{"Management","UPSIDE","Downside"},0),F66,F67,F68)</f>
        <v>7.7413177934085216</v>
      </c>
      <c r="G139" s="136">
        <f>CHOOSE(MATCH($C$6,{"Management","UPSIDE","Downside"},0),G66,G67,G68)</f>
        <v>8.8974850873142461</v>
      </c>
    </row>
    <row r="140" spans="2:12" ht="15.75" customHeight="1" x14ac:dyDescent="0.3">
      <c r="B140" s="83" t="s">
        <v>194</v>
      </c>
      <c r="C140" s="136">
        <f>CHOOSE(MATCH($C$6,{"Management","UPSIDE","Downside"},0),C84,C85,C86)</f>
        <v>1.27600698</v>
      </c>
      <c r="D140" s="136">
        <f>CHOOSE(MATCH($C$6,{"Management","UPSIDE","Downside"},0),D84,D85,D86)</f>
        <v>3.0011725442987798</v>
      </c>
      <c r="E140" s="136">
        <f>CHOOSE(MATCH($C$6,{"Management","UPSIDE","Downside"},0),E84,E85,E86)</f>
        <v>4.1647974028581825</v>
      </c>
      <c r="F140" s="136">
        <f>CHOOSE(MATCH($C$6,{"Management","UPSIDE","Downside"},0),F84,F85,F86)</f>
        <v>5.5186415968825218</v>
      </c>
      <c r="G140" s="136">
        <f>CHOOSE(MATCH($C$6,{"Management","UPSIDE","Downside"},0),G84,G85,G86)</f>
        <v>6.1355848326237847</v>
      </c>
    </row>
    <row r="141" spans="2:12" ht="15.75" customHeight="1" x14ac:dyDescent="0.3">
      <c r="B141" s="83" t="s">
        <v>195</v>
      </c>
      <c r="C141" s="136">
        <f>CHOOSE(MATCH($C$6,{"Management","UPSIDE","Downside"},0),C98,C99,C100)</f>
        <v>56.353493020000002</v>
      </c>
      <c r="D141" s="136">
        <f>CHOOSE(MATCH($C$6,{"Management","UPSIDE","Downside"},0),D98,D99,D100)</f>
        <v>53.352320475701219</v>
      </c>
      <c r="E141" s="136">
        <f>CHOOSE(MATCH($C$6,{"Management","UPSIDE","Downside"},0),E98,E99,E100)</f>
        <v>49.187523072843035</v>
      </c>
      <c r="F141" s="136">
        <f>CHOOSE(MATCH($C$6,{"Management","UPSIDE","Downside"},0),F98,F99,F100)</f>
        <v>43.668881475960511</v>
      </c>
      <c r="G141" s="136">
        <f>CHOOSE(MATCH($C$6,{"Management","UPSIDE","Downside"},0),G98,G99,G100)</f>
        <v>37.533296643336726</v>
      </c>
    </row>
    <row r="142" spans="2:12" ht="15.75" customHeight="1" x14ac:dyDescent="0.3">
      <c r="B142" s="83" t="s">
        <v>79</v>
      </c>
      <c r="C142" s="138">
        <f>CHOOSE(MATCH($C$6,{"Management","UPSIDE","Downside"},0),C104,C105,C106)</f>
        <v>4.9191061472332258</v>
      </c>
      <c r="D142" s="138">
        <f>CHOOSE(MATCH($C$6,{"Management","UPSIDE","Downside"},0),D104,D105,D106)</f>
        <v>3.8453394030648811</v>
      </c>
      <c r="E142" s="138">
        <f>CHOOSE(MATCH($C$6,{"Management","UPSIDE","Downside"},0),E104,E105,E106)</f>
        <v>3.1595169764259543</v>
      </c>
      <c r="F142" s="138">
        <f>CHOOSE(MATCH($C$6,{"Management","UPSIDE","Downside"},0),F104,F105,F106)</f>
        <v>2.4791948802212262</v>
      </c>
      <c r="G142" s="138">
        <f>CHOOSE(MATCH($C$6,{"Management","UPSIDE","Downside"},0),G104,G105,G106)</f>
        <v>1.9973709661507844</v>
      </c>
    </row>
    <row r="143" spans="2:12" ht="15.75" customHeight="1" x14ac:dyDescent="0.3">
      <c r="B143" s="83" t="s">
        <v>196</v>
      </c>
      <c r="C143" s="138">
        <f>CHOOSE(MATCH($C$6,{"Management","UPSIDE","Downside"},0),C108,C109,C110)</f>
        <v>2.4421109445359175</v>
      </c>
      <c r="D143" s="138">
        <f>CHOOSE(MATCH($C$6,{"Management","UPSIDE","Downside"},0),D108,D109,D110)</f>
        <v>3.0433315811971897</v>
      </c>
      <c r="E143" s="138">
        <f>CHOOSE(MATCH($C$6,{"Management","UPSIDE","Downside"},0),E108,E109,E110)</f>
        <v>3.6474635458546536</v>
      </c>
      <c r="F143" s="138">
        <f>CHOOSE(MATCH($C$6,{"Management","UPSIDE","Downside"},0),F108,F109,F110)</f>
        <v>4.4762719264941389</v>
      </c>
      <c r="G143" s="138">
        <f>CHOOSE(MATCH($C$6,{"Management","UPSIDE","Downside"},0),G108,G109,G110)</f>
        <v>5.3789303830268897</v>
      </c>
    </row>
    <row r="144" spans="2:12" ht="7.5" customHeight="1" x14ac:dyDescent="0.3"/>
    <row r="145" spans="2:12" ht="15" customHeight="1" x14ac:dyDescent="0.3">
      <c r="B145" s="170" t="s">
        <v>214</v>
      </c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</row>
  </sheetData>
  <mergeCells count="39">
    <mergeCell ref="B2:M2"/>
    <mergeCell ref="B4:L4"/>
    <mergeCell ref="B7:G7"/>
    <mergeCell ref="B13:G13"/>
    <mergeCell ref="B19:G19"/>
    <mergeCell ref="B24:G24"/>
    <mergeCell ref="C25:E25"/>
    <mergeCell ref="C26:E26"/>
    <mergeCell ref="C27:E27"/>
    <mergeCell ref="C28:E28"/>
    <mergeCell ref="C29:E29"/>
    <mergeCell ref="B31:L31"/>
    <mergeCell ref="B33:G33"/>
    <mergeCell ref="B37:G37"/>
    <mergeCell ref="B41:G41"/>
    <mergeCell ref="B45:G45"/>
    <mergeCell ref="B49:G49"/>
    <mergeCell ref="B53:G53"/>
    <mergeCell ref="B57:G57"/>
    <mergeCell ref="B61:G61"/>
    <mergeCell ref="B65:G65"/>
    <mergeCell ref="B70:G70"/>
    <mergeCell ref="B71:G71"/>
    <mergeCell ref="B75:G75"/>
    <mergeCell ref="B79:G79"/>
    <mergeCell ref="B83:G83"/>
    <mergeCell ref="B88:G88"/>
    <mergeCell ref="B89:G89"/>
    <mergeCell ref="B93:G93"/>
    <mergeCell ref="B97:G97"/>
    <mergeCell ref="F125:H125"/>
    <mergeCell ref="F128:H128"/>
    <mergeCell ref="B130:L130"/>
    <mergeCell ref="B145:L145"/>
    <mergeCell ref="B102:G102"/>
    <mergeCell ref="B103:G103"/>
    <mergeCell ref="B107:G107"/>
    <mergeCell ref="B112:L112"/>
    <mergeCell ref="F124:H124"/>
  </mergeCells>
  <pageMargins left="0.75" right="0.75" top="1" bottom="1" header="0.511811023622047" footer="0.511811023622047"/>
  <pageSetup paperSize="9" orientation="portrait" horizontalDpi="300" verticalDpi="300"/>
  <ignoredErrors>
    <ignoredError sqref="F51:G51 C51:E51 C55:G55 C59:G59 C63:G63 C67:G67 C81:G81 C85:G85 C91:G91 C95:G95 C99:G9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1E7D-9F71-4A5A-8DFD-766EDA740239}">
  <dimension ref="A1:F10"/>
  <sheetViews>
    <sheetView workbookViewId="0">
      <selection activeCell="G17" sqref="G17"/>
    </sheetView>
  </sheetViews>
  <sheetFormatPr defaultRowHeight="14.4" x14ac:dyDescent="0.3"/>
  <cols>
    <col min="1" max="1" width="14.6640625" customWidth="1"/>
    <col min="2" max="2" width="12" customWidth="1"/>
    <col min="3" max="3" width="11.6640625" customWidth="1"/>
    <col min="4" max="4" width="11.77734375" customWidth="1"/>
    <col min="5" max="5" width="15" customWidth="1"/>
    <col min="6" max="6" width="15.77734375" customWidth="1"/>
  </cols>
  <sheetData>
    <row r="1" spans="1:6" ht="31.2" customHeight="1" x14ac:dyDescent="0.3">
      <c r="A1" s="141" t="s">
        <v>199</v>
      </c>
      <c r="B1" s="141" t="s">
        <v>200</v>
      </c>
      <c r="C1" s="141" t="s">
        <v>201</v>
      </c>
      <c r="D1" s="141" t="s">
        <v>202</v>
      </c>
      <c r="E1" s="141" t="s">
        <v>203</v>
      </c>
      <c r="F1" s="141" t="s">
        <v>204</v>
      </c>
    </row>
    <row r="2" spans="1:6" x14ac:dyDescent="0.3">
      <c r="A2" s="142" t="s">
        <v>205</v>
      </c>
      <c r="B2" s="143">
        <v>19654</v>
      </c>
      <c r="C2" s="143">
        <v>23112</v>
      </c>
      <c r="D2" s="143">
        <v>3575</v>
      </c>
      <c r="E2" s="144">
        <v>2.7</v>
      </c>
      <c r="F2" s="144">
        <v>13</v>
      </c>
    </row>
    <row r="3" spans="1:6" ht="28.8" x14ac:dyDescent="0.3">
      <c r="A3" s="142" t="s">
        <v>206</v>
      </c>
      <c r="B3" s="143">
        <v>15253</v>
      </c>
      <c r="C3" s="143">
        <v>17287</v>
      </c>
      <c r="D3" s="143">
        <v>2017</v>
      </c>
      <c r="E3" s="144">
        <v>2.2000000000000002</v>
      </c>
      <c r="F3" s="144">
        <v>11.7</v>
      </c>
    </row>
    <row r="4" spans="1:6" ht="28.8" x14ac:dyDescent="0.3">
      <c r="A4" s="142" t="s">
        <v>207</v>
      </c>
      <c r="B4" s="143">
        <v>10197</v>
      </c>
      <c r="C4" s="143">
        <v>11351</v>
      </c>
      <c r="D4" s="143">
        <v>1481</v>
      </c>
      <c r="E4" s="144">
        <v>2.4</v>
      </c>
      <c r="F4" s="144">
        <v>11.2</v>
      </c>
    </row>
    <row r="5" spans="1:6" ht="28.8" x14ac:dyDescent="0.3">
      <c r="A5" s="142" t="s">
        <v>208</v>
      </c>
      <c r="B5" s="142">
        <v>251</v>
      </c>
      <c r="C5" s="142">
        <v>470</v>
      </c>
      <c r="D5" s="142">
        <v>191</v>
      </c>
      <c r="E5" s="144">
        <v>0.7</v>
      </c>
      <c r="F5" s="144">
        <v>5.6</v>
      </c>
    </row>
    <row r="6" spans="1:6" x14ac:dyDescent="0.3">
      <c r="A6" s="142"/>
      <c r="B6" s="143"/>
      <c r="C6" s="143"/>
      <c r="D6" s="143"/>
      <c r="E6" s="142"/>
      <c r="F6" s="142"/>
    </row>
    <row r="7" spans="1:6" x14ac:dyDescent="0.3">
      <c r="A7" s="142" t="s">
        <v>209</v>
      </c>
      <c r="B7" s="143"/>
      <c r="C7" s="143"/>
      <c r="D7" s="143"/>
      <c r="E7" s="144">
        <f>AVERAGE(E2:E5)</f>
        <v>2</v>
      </c>
      <c r="F7" s="144">
        <f>AVERAGE(F2:F5)</f>
        <v>10.375</v>
      </c>
    </row>
    <row r="8" spans="1:6" x14ac:dyDescent="0.3">
      <c r="A8" s="142" t="s">
        <v>210</v>
      </c>
      <c r="B8" s="143"/>
      <c r="C8" s="143"/>
      <c r="D8" s="143"/>
      <c r="E8" s="144">
        <f>MEDIAN(E2:E5)</f>
        <v>2.2999999999999998</v>
      </c>
      <c r="F8" s="144">
        <f>MEDIAN(F2:F5)</f>
        <v>11.45</v>
      </c>
    </row>
    <row r="9" spans="1:6" x14ac:dyDescent="0.3">
      <c r="A9" s="142" t="s">
        <v>211</v>
      </c>
      <c r="B9" s="143"/>
      <c r="C9" s="143"/>
      <c r="D9" s="143"/>
      <c r="E9" s="144">
        <f>MIN(E2:E5)</f>
        <v>0.7</v>
      </c>
      <c r="F9" s="144">
        <f>MIN(F2:F5)</f>
        <v>5.6</v>
      </c>
    </row>
    <row r="10" spans="1:6" x14ac:dyDescent="0.3">
      <c r="A10" s="142" t="s">
        <v>212</v>
      </c>
      <c r="B10" s="143"/>
      <c r="C10" s="143"/>
      <c r="D10" s="143"/>
      <c r="E10" s="144">
        <f>MAX(E2:E5)</f>
        <v>2.7</v>
      </c>
      <c r="F10" s="144">
        <f>MAX(F2:F5)</f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LBO</vt:lpstr>
      <vt:lpstr>Stress Test</vt:lpstr>
      <vt:lpstr>PublicComp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Carter Morissette</dc:creator>
  <dc:description/>
  <cp:lastModifiedBy>Carter Morissette</cp:lastModifiedBy>
  <cp:revision>0</cp:revision>
  <dcterms:created xsi:type="dcterms:W3CDTF">2026-03-31T02:03:14Z</dcterms:created>
  <dcterms:modified xsi:type="dcterms:W3CDTF">2026-07-15T01:02:49Z</dcterms:modified>
  <dc:language>en-US</dc:language>
</cp:coreProperties>
</file>